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dp" ContentType="image/vnd.ms-photo"/>
  <Default Extension="webp" ContentType="image/webp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achi\Downloads\"/>
    </mc:Choice>
  </mc:AlternateContent>
  <xr:revisionPtr revIDLastSave="0" documentId="8_{40C3688E-EEA7-43B7-87BE-6EF6AF2256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ashboard" sheetId="1" r:id="rId1"/>
    <sheet name="BD_Ventas" sheetId="2" r:id="rId2"/>
    <sheet name="Calculos" sheetId="4" r:id="rId3"/>
    <sheet name="BD_Productos" sheetId="3" r:id="rId4"/>
  </sheets>
  <definedNames>
    <definedName name="SegmentaciónDeDatos_Origem">#N/A</definedName>
  </definedNames>
  <calcPr calcId="181029"/>
  <pivotCaches>
    <pivotCache cacheId="0" r:id="rId5"/>
  </pivotCaches>
  <fileRecoveryPr repairLoad="1"/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D2" i="2" l="1"/>
  <c r="H2" i="2"/>
  <c r="I2" i="2"/>
  <c r="D3" i="2"/>
  <c r="H3" i="2"/>
  <c r="I3" i="2"/>
  <c r="D4" i="2"/>
  <c r="H4" i="2"/>
  <c r="I4" i="2"/>
  <c r="D5" i="2"/>
  <c r="H5" i="2"/>
  <c r="I5" i="2"/>
  <c r="D6" i="2"/>
  <c r="H6" i="2"/>
  <c r="I6" i="2"/>
  <c r="D7" i="2"/>
  <c r="H7" i="2"/>
  <c r="I7" i="2"/>
  <c r="D8" i="2"/>
  <c r="H8" i="2"/>
  <c r="I8" i="2"/>
  <c r="D9" i="2"/>
  <c r="H9" i="2"/>
  <c r="I9" i="2"/>
  <c r="D10" i="2"/>
  <c r="H10" i="2"/>
  <c r="I10" i="2"/>
  <c r="D11" i="2"/>
  <c r="H11" i="2"/>
  <c r="I11" i="2"/>
  <c r="D12" i="2"/>
  <c r="H12" i="2"/>
  <c r="I12" i="2"/>
  <c r="D13" i="2"/>
  <c r="H13" i="2"/>
  <c r="I13" i="2"/>
  <c r="D14" i="2"/>
  <c r="H14" i="2"/>
  <c r="I14" i="2"/>
  <c r="D15" i="2"/>
  <c r="H15" i="2"/>
  <c r="I15" i="2"/>
  <c r="D16" i="2"/>
  <c r="H16" i="2"/>
  <c r="I16" i="2"/>
  <c r="D17" i="2"/>
  <c r="H17" i="2"/>
  <c r="I17" i="2"/>
  <c r="D18" i="2"/>
  <c r="H18" i="2"/>
  <c r="I18" i="2"/>
  <c r="D19" i="2"/>
  <c r="H19" i="2"/>
  <c r="I19" i="2"/>
  <c r="D20" i="2"/>
  <c r="H20" i="2"/>
  <c r="I20" i="2"/>
  <c r="D21" i="2"/>
  <c r="H21" i="2"/>
  <c r="I21" i="2"/>
  <c r="D11" i="4"/>
  <c r="D10" i="4"/>
</calcChain>
</file>

<file path=xl/sharedStrings.xml><?xml version="1.0" encoding="utf-8"?>
<sst xmlns="http://schemas.openxmlformats.org/spreadsheetml/2006/main" count="178" uniqueCount="77">
  <si>
    <t>Categoría</t>
  </si>
  <si>
    <t>Producto</t>
  </si>
  <si>
    <t>Grano Entero</t>
  </si>
  <si>
    <t>Espresso Roast Blend (1kg)</t>
  </si>
  <si>
    <t>Café Molido</t>
  </si>
  <si>
    <t>Café de Origen Huila (500g)</t>
  </si>
  <si>
    <t>Cápsulas</t>
  </si>
  <si>
    <t>Café de Origen Antigua (500g)</t>
  </si>
  <si>
    <t>Bebida Lista</t>
  </si>
  <si>
    <t>Café Orgánico Sierra Nevada (500g)</t>
  </si>
  <si>
    <t>Edición Especial</t>
  </si>
  <si>
    <t>Cold Brew Concentrate (1L)</t>
  </si>
  <si>
    <t>Distribuidor B2B</t>
  </si>
  <si>
    <t>E-commerce</t>
  </si>
  <si>
    <t>Cafetería / Tienda</t>
  </si>
  <si>
    <t>ID Producto</t>
  </si>
  <si>
    <t>Canal de Venta</t>
  </si>
  <si>
    <t>Cantidad</t>
  </si>
  <si>
    <t>Precio Unitario ($)</t>
  </si>
  <si>
    <t>Total Venta ($)</t>
  </si>
  <si>
    <t>2026-09-01</t>
  </si>
  <si>
    <t>SKU-CAF-001</t>
  </si>
  <si>
    <t>SKU-CAF-006</t>
  </si>
  <si>
    <t>2026-09-02</t>
  </si>
  <si>
    <t>SKU-CAF-003</t>
  </si>
  <si>
    <t>SKU-CAF-004</t>
  </si>
  <si>
    <t>2026-09-03</t>
  </si>
  <si>
    <t>SKU-CAF-010</t>
  </si>
  <si>
    <t>SKU-CAF-002</t>
  </si>
  <si>
    <t>2026-09-04</t>
  </si>
  <si>
    <t>SKU-CAF-008</t>
  </si>
  <si>
    <t>SKU-CAF-007</t>
  </si>
  <si>
    <t>2026-09-05</t>
  </si>
  <si>
    <t>SKU-CAF-009</t>
  </si>
  <si>
    <t>2026-09-06</t>
  </si>
  <si>
    <t>SKU-CAF-005</t>
  </si>
  <si>
    <t>2026-09-07</t>
  </si>
  <si>
    <t>2026-09-08</t>
  </si>
  <si>
    <t>2026-09-09</t>
  </si>
  <si>
    <t>2026-09-10</t>
  </si>
  <si>
    <t>SKU</t>
  </si>
  <si>
    <t>Nombre Producto</t>
  </si>
  <si>
    <t>Origen / Variedad</t>
  </si>
  <si>
    <t>Stock (Bolsas/Kg)</t>
  </si>
  <si>
    <t>Colombia</t>
  </si>
  <si>
    <t>Guatemala</t>
  </si>
  <si>
    <t>Blend Latino</t>
  </si>
  <si>
    <t>Café Molido Tostado Medio (500g)</t>
  </si>
  <si>
    <t>Café Descafeinado Suave (500g)</t>
  </si>
  <si>
    <t>Perú</t>
  </si>
  <si>
    <t>Cápsulas Espresso Intenso (10u)</t>
  </si>
  <si>
    <t>Blend Espresso</t>
  </si>
  <si>
    <t>Cápsulas Vainilla Latte (10u)</t>
  </si>
  <si>
    <t>Saborizado</t>
  </si>
  <si>
    <t>Blend Orgánico</t>
  </si>
  <si>
    <t>Café Especial Geisha (250g)</t>
  </si>
  <si>
    <t>Panamá</t>
  </si>
  <si>
    <t>Data</t>
  </si>
  <si>
    <t>Grão inteiro</t>
  </si>
  <si>
    <t>Cápsula</t>
  </si>
  <si>
    <t>Café Moído</t>
  </si>
  <si>
    <t>Bebida pronta</t>
  </si>
  <si>
    <t>Edição Especial</t>
  </si>
  <si>
    <t>Brasil</t>
  </si>
  <si>
    <t>Origem</t>
  </si>
  <si>
    <t>Mexico</t>
  </si>
  <si>
    <t>Bolivia</t>
  </si>
  <si>
    <t>Argentina</t>
  </si>
  <si>
    <t>Etiquetas de fila</t>
  </si>
  <si>
    <t>Total general</t>
  </si>
  <si>
    <t>É uma pergunta de negócio respondida através de alguma análise de dado específica</t>
  </si>
  <si>
    <t>Suma de Cantidad</t>
  </si>
  <si>
    <t>Pergunta de Negócio 3-Vendas de canais de distribuição em cada pais?</t>
  </si>
  <si>
    <t>Pergunta de Negócio 1- Quais os produtos que são vendidos em cada país?</t>
  </si>
  <si>
    <t>Pergunta de Negócio 2- Vendas por categorias de café em cada país?</t>
  </si>
  <si>
    <t>Controle de Receitas, Categorias de Café, Canais de Venda.</t>
  </si>
  <si>
    <t>ANÁLISE DE VENDAS DE CAFÉ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</si>
</sst>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\$#,##0.00"/>
    <numFmt numFmtId="165" formatCode="_-[$R$-416]\ * #,##0.0_-;\-[$R$-416]\ * #,##0.0_-;_-[$R$-416]\ 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3"/>
      <color rgb="FF4A2C2A"/>
      <name val="Calibri"/>
      <family val="2"/>
    </font>
    <font>
      <i/>
      <sz val="12"/>
      <color theme="0" tint="-4.9989318521683403E-2"/>
      <name val="Calibri"/>
      <family val="2"/>
    </font>
    <font>
      <sz val="12"/>
      <color theme="0" tint="-4.9989318521683403E-2"/>
      <name val="Calibri"/>
      <family val="2"/>
      <scheme val="minor"/>
    </font>
    <font>
      <sz val="11"/>
      <color theme="1"/>
      <name val="Bahnschrift Light Condensed"/>
      <family val="2"/>
    </font>
    <font>
      <b/>
      <sz val="22"/>
      <color theme="1"/>
      <name val="Bahnschrift Condensed"/>
      <family val="2"/>
    </font>
    <font>
      <sz val="11"/>
      <color theme="0"/>
      <name val="Bahnschrift SemiLight Condensed"/>
      <family val="2"/>
    </font>
  </fonts>
  <fills count="6">
    <fill>
      <patternFill patternType="none"/>
    </fill>
    <fill>
      <patternFill patternType="gray125"/>
    </fill>
    <fill>
      <patternFill patternType="solid">
        <fgColor rgb="FF4A2C2A"/>
        <bgColor rgb="FF4A2C2A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rgb="FFE0D6CD"/>
      </left>
      <right style="thin">
        <color rgb="FFE0D6CD"/>
      </right>
      <top style="thin">
        <color rgb="FFE0D6CD"/>
      </top>
      <bottom style="thin">
        <color rgb="FFE0D6C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1" xfId="0" applyNumberFormat="1" applyBorder="1"/>
    <xf numFmtId="3" fontId="0" fillId="0" borderId="0" xfId="0" applyNumberFormat="1"/>
    <xf numFmtId="0" fontId="5" fillId="0" borderId="0" xfId="0" applyFont="1"/>
    <xf numFmtId="0" fontId="3" fillId="3" borderId="0" xfId="0" applyFont="1" applyFill="1"/>
    <xf numFmtId="0" fontId="4" fillId="3" borderId="0" xfId="0" applyFont="1" applyFill="1"/>
    <xf numFmtId="0" fontId="5" fillId="0" borderId="0" xfId="0" applyFont="1"/>
    <xf numFmtId="0" fontId="0" fillId="0" borderId="0" xfId="0" applyAlignment="1">
      <alignment horizontal="left" indent="2"/>
    </xf>
    <xf numFmtId="0" fontId="0" fillId="3" borderId="0" xfId="0" applyFill="1"/>
    <xf numFmtId="0" fontId="0" fillId="4" borderId="0" xfId="0" applyFill="1"/>
    <xf numFmtId="0" fontId="6" fillId="3" borderId="0" xfId="0" applyFont="1" applyFill="1" applyAlignment="1">
      <alignment horizontal="left" vertical="center" indent="2"/>
    </xf>
    <xf numFmtId="0" fontId="7" fillId="3" borderId="0" xfId="0" applyFont="1" applyFill="1" applyAlignment="1">
      <alignment horizontal="left" vertical="top" indent="6"/>
    </xf>
    <xf numFmtId="0" fontId="0" fillId="5" borderId="0" xfId="0" applyFill="1"/>
    <xf numFmtId="0" fontId="0" fillId="0" borderId="0" xfId="0" applyFill="1"/>
    <xf numFmtId="0" fontId="2" fillId="0" borderId="0" xfId="0" applyFont="1" applyFill="1"/>
  </cellXfs>
  <cellStyles count="1">
    <cellStyle name="Normal" xfId="0" builtinId="0"/>
  </cellStyles>
  <dxfs count="4">
    <dxf>
      <font>
        <b/>
        <color theme="1"/>
      </font>
      <fill>
        <patternFill>
          <bgColor theme="9" tint="-0.499984740745262"/>
        </patternFill>
      </fill>
      <border>
        <bottom style="thin">
          <color theme="9"/>
        </bottom>
        <vertical/>
        <horizontal/>
      </border>
    </dxf>
    <dxf>
      <font>
        <color theme="1"/>
      </font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border diagonalDown="1">
        <left style="hair">
          <color theme="0"/>
        </left>
        <right style="hair">
          <color theme="0"/>
        </right>
        <top style="hair">
          <color theme="0"/>
        </top>
        <bottom style="hair">
          <color theme="0"/>
        </bottom>
        <diagonal style="hair">
          <color theme="0"/>
        </diagonal>
      </border>
    </dxf>
    <dxf>
      <font>
        <color theme="1"/>
        <name val="Bahnschrift SemiCondensed"/>
        <family val="2"/>
        <scheme val="none"/>
      </font>
      <fill>
        <patternFill patternType="solid">
          <bgColor theme="9" tint="-0.499984740745262"/>
        </patternFill>
      </fill>
      <border diagonalUp="0" diagonalDown="0">
        <left/>
        <right/>
        <top/>
        <bottom/>
        <vertical/>
        <horizontal/>
      </border>
    </dxf>
  </dxfs>
  <tableStyles count="2" defaultTableStyle="TableStyleMedium9" defaultPivotStyle="PivotStyleLight16">
    <tableStyle name="Estilo de segmentación de datos 1" pivot="0" table="0" count="10" xr9:uid="{00261EDA-B13F-4D75-A161-22798D2C27E2}">
      <tableStyleElement type="wholeTable" dxfId="3"/>
      <tableStyleElement type="headerRow" dxfId="2"/>
    </tableStyle>
    <tableStyle name="SlicerStyleLight6 2" pivot="0" table="0" count="10" xr9:uid="{0FDBC1BB-6F25-44B5-9900-4791986560B1}">
      <tableStyleElement type="wholeTable" dxfId="1"/>
      <tableStyleElement type="headerRow" dxfId="0"/>
    </tableStyle>
  </tableStyles>
  <extLst>
    <ext xmlns:x14="http://schemas.microsoft.com/office/spreadsheetml/2009/9/main" uri="{46F421CA-312F-682f-3DD2-61675219B42D}">
      <x14:dxfs count="32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patternFill patternType="darkHorizontal">
              <fgColor theme="9" tint="-0.24994659260841701"/>
              <bgColor auto="1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9" tint="-0.499984740745262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9" tint="-0.499984740745262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9" tint="-0.499984740745262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 tint="-4.9989318521683403E-2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9" tint="-0.499984740745262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 tint="-4.9989318521683403E-2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 tint="-4.9989318521683403E-2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 tint="-4.9989318521683403E-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ción de datos 1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[Dashboard_Ventas_Cafe(Recuperado automáticamente).xlsx]Calculos!TablaDinámica12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accent6">
                    <a:lumMod val="50000"/>
                  </a:schemeClr>
                </a:solidFill>
              </a:rPr>
              <a:t>Canais de distribuição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accent6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Calculos!$B$10:$B$22</c:f>
              <c:multiLvlStrCache>
                <c:ptCount val="6"/>
                <c:lvl>
                  <c:pt idx="0">
                    <c:v>Cafetería / Tienda</c:v>
                  </c:pt>
                  <c:pt idx="1">
                    <c:v>Distribuidor B2B</c:v>
                  </c:pt>
                  <c:pt idx="2">
                    <c:v>Cafetería / Tienda</c:v>
                  </c:pt>
                  <c:pt idx="3">
                    <c:v>E-commerce</c:v>
                  </c:pt>
                  <c:pt idx="4">
                    <c:v>Distribuidor B2B</c:v>
                  </c:pt>
                  <c:pt idx="5">
                    <c:v>E-commerce</c:v>
                  </c:pt>
                </c:lvl>
                <c:lvl>
                  <c:pt idx="0">
                    <c:v>Grão inteiro</c:v>
                  </c:pt>
                  <c:pt idx="2">
                    <c:v>Café Moído</c:v>
                  </c:pt>
                  <c:pt idx="4">
                    <c:v>Edição Especial</c:v>
                  </c:pt>
                </c:lvl>
                <c:lvl>
                  <c:pt idx="0">
                    <c:v>Café de Origen Huila (500g)</c:v>
                  </c:pt>
                  <c:pt idx="2">
                    <c:v>Café Molido Tostado Medio (500g)</c:v>
                  </c:pt>
                  <c:pt idx="4">
                    <c:v>Café Orgánico Sierra Nevada (500g)</c:v>
                  </c:pt>
                </c:lvl>
              </c:multiLvlStrCache>
            </c:multiLvlStrRef>
          </c:cat>
          <c:val>
            <c:numRef>
              <c:f>Calculos!$C$10:$C$22</c:f>
              <c:numCache>
                <c:formatCode>#,##0</c:formatCode>
                <c:ptCount val="6"/>
                <c:pt idx="0">
                  <c:v>21</c:v>
                </c:pt>
                <c:pt idx="1">
                  <c:v>60</c:v>
                </c:pt>
                <c:pt idx="2">
                  <c:v>8</c:v>
                </c:pt>
                <c:pt idx="3">
                  <c:v>14</c:v>
                </c:pt>
                <c:pt idx="4">
                  <c:v>30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C2-4CC2-978E-38AB887F7EF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6732207"/>
        <c:axId val="592272511"/>
      </c:barChart>
      <c:catAx>
        <c:axId val="104673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2272511"/>
        <c:crosses val="autoZero"/>
        <c:auto val="1"/>
        <c:lblAlgn val="ctr"/>
        <c:lblOffset val="100"/>
        <c:noMultiLvlLbl val="0"/>
      </c:catAx>
      <c:valAx>
        <c:axId val="59227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6">
                  <a:lumMod val="5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6732207"/>
        <c:crosses val="autoZero"/>
        <c:crossBetween val="between"/>
      </c:valAx>
      <c:spPr>
        <a:noFill/>
        <a:ln>
          <a:solidFill>
            <a:schemeClr val="accent6">
              <a:lumMod val="50000"/>
            </a:schemeClr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[Dashboard_Ventas_Cafe(Recuperado automáticamente).xlsx]Calculos!TablaDinámica12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Calculos!$C$9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Calculos!$B$10:$B$22</c:f>
              <c:multiLvlStrCache>
                <c:ptCount val="6"/>
                <c:lvl>
                  <c:pt idx="0">
                    <c:v>Cafetería / Tienda</c:v>
                  </c:pt>
                  <c:pt idx="1">
                    <c:v>Distribuidor B2B</c:v>
                  </c:pt>
                  <c:pt idx="2">
                    <c:v>Cafetería / Tienda</c:v>
                  </c:pt>
                  <c:pt idx="3">
                    <c:v>E-commerce</c:v>
                  </c:pt>
                  <c:pt idx="4">
                    <c:v>Distribuidor B2B</c:v>
                  </c:pt>
                  <c:pt idx="5">
                    <c:v>E-commerce</c:v>
                  </c:pt>
                </c:lvl>
                <c:lvl>
                  <c:pt idx="0">
                    <c:v>Grão inteiro</c:v>
                  </c:pt>
                  <c:pt idx="2">
                    <c:v>Café Moído</c:v>
                  </c:pt>
                  <c:pt idx="4">
                    <c:v>Edição Especial</c:v>
                  </c:pt>
                </c:lvl>
                <c:lvl>
                  <c:pt idx="0">
                    <c:v>Café de Origen Huila (500g)</c:v>
                  </c:pt>
                  <c:pt idx="2">
                    <c:v>Café Molido Tostado Medio (500g)</c:v>
                  </c:pt>
                  <c:pt idx="4">
                    <c:v>Café Orgánico Sierra Nevada (500g)</c:v>
                  </c:pt>
                </c:lvl>
              </c:multiLvlStrCache>
            </c:multiLvlStrRef>
          </c:cat>
          <c:val>
            <c:numRef>
              <c:f>Calculos!$C$10:$C$22</c:f>
              <c:numCache>
                <c:formatCode>#,##0</c:formatCode>
                <c:ptCount val="6"/>
                <c:pt idx="0">
                  <c:v>21</c:v>
                </c:pt>
                <c:pt idx="1">
                  <c:v>60</c:v>
                </c:pt>
                <c:pt idx="2">
                  <c:v>8</c:v>
                </c:pt>
                <c:pt idx="3">
                  <c:v>14</c:v>
                </c:pt>
                <c:pt idx="4">
                  <c:v>30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3D-4482-8576-F1D41AB207D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6732207"/>
        <c:axId val="592272511"/>
      </c:barChart>
      <c:catAx>
        <c:axId val="1046732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92272511"/>
        <c:crosses val="autoZero"/>
        <c:auto val="1"/>
        <c:lblAlgn val="ctr"/>
        <c:lblOffset val="100"/>
        <c:noMultiLvlLbl val="0"/>
      </c:catAx>
      <c:valAx>
        <c:axId val="59227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6732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webp"/><Relationship Id="rId6" Type="http://schemas.microsoft.com/office/2007/relationships/hdphoto" Target="../media/hdphoto2.wdp"/><Relationship Id="rId5" Type="http://schemas.openxmlformats.org/officeDocument/2006/relationships/image" Target="../media/image4.png"/><Relationship Id="rId4" Type="http://schemas.microsoft.com/office/2007/relationships/hdphoto" Target="../media/hdphoto1.wdp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0</xdr:row>
      <xdr:rowOff>47625</xdr:rowOff>
    </xdr:from>
    <xdr:to>
      <xdr:col>1</xdr:col>
      <xdr:colOff>9525</xdr:colOff>
      <xdr:row>9</xdr:row>
      <xdr:rowOff>38100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6626FC82-B784-32DA-3B99-0F4C461BDA6F}"/>
            </a:ext>
          </a:extLst>
        </xdr:cNvPr>
        <xdr:cNvCxnSpPr/>
      </xdr:nvCxnSpPr>
      <xdr:spPr>
        <a:xfrm>
          <a:off x="1466850" y="47625"/>
          <a:ext cx="0" cy="1704975"/>
        </a:xfrm>
        <a:prstGeom prst="line">
          <a:avLst/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1009650</xdr:colOff>
      <xdr:row>5</xdr:row>
      <xdr:rowOff>19049</xdr:rowOff>
    </xdr:from>
    <xdr:to>
      <xdr:col>7</xdr:col>
      <xdr:colOff>790575</xdr:colOff>
      <xdr:row>6</xdr:row>
      <xdr:rowOff>0</xdr:rowOff>
    </xdr:to>
    <xdr:sp macro="" textlink="">
      <xdr:nvSpPr>
        <xdr:cNvPr id="6" name="Rectángulo: esquinas superiores redondeadas 5">
          <a:extLst>
            <a:ext uri="{FF2B5EF4-FFF2-40B4-BE49-F238E27FC236}">
              <a16:creationId xmlns:a16="http://schemas.microsoft.com/office/drawing/2014/main" id="{C3EF6503-DA9C-984E-66CE-FA36CB4994C4}"/>
            </a:ext>
          </a:extLst>
        </xdr:cNvPr>
        <xdr:cNvSpPr/>
      </xdr:nvSpPr>
      <xdr:spPr>
        <a:xfrm>
          <a:off x="6372225" y="1104899"/>
          <a:ext cx="3486150" cy="171451"/>
        </a:xfrm>
        <a:prstGeom prst="round2SameRect">
          <a:avLst/>
        </a:prstGeom>
        <a:solidFill>
          <a:schemeClr val="accent6">
            <a:lumMod val="5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  <a:latin typeface="Bahnschrift Condensed" panose="020B0502040204020203" pitchFamily="34" charset="0"/>
            </a:rPr>
            <a:t>Produto mais comercializado</a:t>
          </a:r>
          <a:endParaRPr lang="es-CO" sz="1600">
            <a:solidFill>
              <a:schemeClr val="bg1"/>
            </a:solidFill>
            <a:latin typeface="Bahnschrift Condensed" panose="020B0502040204020203" pitchFamily="34" charset="0"/>
          </a:endParaRPr>
        </a:p>
      </xdr:txBody>
    </xdr:sp>
    <xdr:clientData/>
  </xdr:twoCellAnchor>
  <xdr:twoCellAnchor>
    <xdr:from>
      <xdr:col>1</xdr:col>
      <xdr:colOff>419101</xdr:colOff>
      <xdr:row>5</xdr:row>
      <xdr:rowOff>0</xdr:rowOff>
    </xdr:from>
    <xdr:to>
      <xdr:col>4</xdr:col>
      <xdr:colOff>542925</xdr:colOff>
      <xdr:row>10</xdr:row>
      <xdr:rowOff>47626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59D249ED-E143-B3C3-887B-71D8453631F7}"/>
            </a:ext>
          </a:extLst>
        </xdr:cNvPr>
        <xdr:cNvSpPr/>
      </xdr:nvSpPr>
      <xdr:spPr>
        <a:xfrm>
          <a:off x="2324101" y="1085850"/>
          <a:ext cx="3581399" cy="100012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428624</xdr:colOff>
      <xdr:row>5</xdr:row>
      <xdr:rowOff>19050</xdr:rowOff>
    </xdr:from>
    <xdr:to>
      <xdr:col>4</xdr:col>
      <xdr:colOff>504824</xdr:colOff>
      <xdr:row>6</xdr:row>
      <xdr:rowOff>0</xdr:rowOff>
    </xdr:to>
    <xdr:sp macro="" textlink="">
      <xdr:nvSpPr>
        <xdr:cNvPr id="8" name="Rectángulo: esquinas superiores redondeadas 7">
          <a:extLst>
            <a:ext uri="{FF2B5EF4-FFF2-40B4-BE49-F238E27FC236}">
              <a16:creationId xmlns:a16="http://schemas.microsoft.com/office/drawing/2014/main" id="{353A14AE-6E23-40EA-9B2A-6F2B31A8059B}"/>
            </a:ext>
          </a:extLst>
        </xdr:cNvPr>
        <xdr:cNvSpPr/>
      </xdr:nvSpPr>
      <xdr:spPr>
        <a:xfrm>
          <a:off x="2333624" y="1104900"/>
          <a:ext cx="3533775" cy="171450"/>
        </a:xfrm>
        <a:prstGeom prst="round2SameRect">
          <a:avLst/>
        </a:prstGeom>
        <a:solidFill>
          <a:schemeClr val="accent6">
            <a:lumMod val="50000"/>
          </a:schemeClr>
        </a:solidFill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  <a:latin typeface="Bahnschrift Condensed" panose="020B0502040204020203" pitchFamily="34" charset="0"/>
            </a:rPr>
            <a:t>Categoria mais comercializada</a:t>
          </a:r>
        </a:p>
      </xdr:txBody>
    </xdr:sp>
    <xdr:clientData/>
  </xdr:twoCellAnchor>
  <xdr:twoCellAnchor>
    <xdr:from>
      <xdr:col>4</xdr:col>
      <xdr:colOff>1009649</xdr:colOff>
      <xdr:row>6</xdr:row>
      <xdr:rowOff>28575</xdr:rowOff>
    </xdr:from>
    <xdr:to>
      <xdr:col>7</xdr:col>
      <xdr:colOff>771525</xdr:colOff>
      <xdr:row>11</xdr:row>
      <xdr:rowOff>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2C412DDD-A00C-472D-BBD3-A8731E121FC5}"/>
            </a:ext>
          </a:extLst>
        </xdr:cNvPr>
        <xdr:cNvSpPr/>
      </xdr:nvSpPr>
      <xdr:spPr>
        <a:xfrm>
          <a:off x="6372224" y="1304925"/>
          <a:ext cx="3467101" cy="9239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38100</xdr:colOff>
      <xdr:row>2</xdr:row>
      <xdr:rowOff>276225</xdr:rowOff>
    </xdr:from>
    <xdr:to>
      <xdr:col>5</xdr:col>
      <xdr:colOff>371475</xdr:colOff>
      <xdr:row>2</xdr:row>
      <xdr:rowOff>285750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021DF83C-247A-F0F2-9873-BC8FF0A0A691}"/>
            </a:ext>
          </a:extLst>
        </xdr:cNvPr>
        <xdr:cNvCxnSpPr/>
      </xdr:nvCxnSpPr>
      <xdr:spPr>
        <a:xfrm>
          <a:off x="1943100" y="657225"/>
          <a:ext cx="4991100" cy="9525"/>
        </a:xfrm>
        <a:prstGeom prst="line">
          <a:avLst/>
        </a:prstGeom>
        <a:ln>
          <a:solidFill>
            <a:schemeClr val="accent6">
              <a:lumMod val="50000"/>
            </a:schemeClr>
          </a:solidFill>
        </a:ln>
      </xdr:spPr>
      <xdr:style>
        <a:lnRef idx="2">
          <a:schemeClr val="accent6"/>
        </a:lnRef>
        <a:fillRef idx="0">
          <a:schemeClr val="accent6"/>
        </a:fillRef>
        <a:effectRef idx="1">
          <a:schemeClr val="accent6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361950</xdr:colOff>
      <xdr:row>0</xdr:row>
      <xdr:rowOff>0</xdr:rowOff>
    </xdr:from>
    <xdr:to>
      <xdr:col>5</xdr:col>
      <xdr:colOff>476250</xdr:colOff>
      <xdr:row>3</xdr:row>
      <xdr:rowOff>247650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52CCF4A3-52C7-63DA-C640-BA66DD335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4525" y="0"/>
          <a:ext cx="1314450" cy="876300"/>
        </a:xfrm>
        <a:prstGeom prst="rect">
          <a:avLst/>
        </a:prstGeom>
      </xdr:spPr>
    </xdr:pic>
    <xdr:clientData/>
  </xdr:twoCellAnchor>
  <xdr:twoCellAnchor editAs="oneCell">
    <xdr:from>
      <xdr:col>4</xdr:col>
      <xdr:colOff>1123950</xdr:colOff>
      <xdr:row>6</xdr:row>
      <xdr:rowOff>23619</xdr:rowOff>
    </xdr:from>
    <xdr:to>
      <xdr:col>5</xdr:col>
      <xdr:colOff>686860</xdr:colOff>
      <xdr:row>10</xdr:row>
      <xdr:rowOff>85724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15025922-3207-F513-18D0-8DD0EA452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6525" y="1299969"/>
          <a:ext cx="763060" cy="824105"/>
        </a:xfrm>
        <a:prstGeom prst="rect">
          <a:avLst/>
        </a:prstGeom>
      </xdr:spPr>
    </xdr:pic>
    <xdr:clientData/>
  </xdr:twoCellAnchor>
  <xdr:twoCellAnchor editAs="oneCell">
    <xdr:from>
      <xdr:col>1</xdr:col>
      <xdr:colOff>380351</xdr:colOff>
      <xdr:row>2</xdr:row>
      <xdr:rowOff>9839</xdr:rowOff>
    </xdr:from>
    <xdr:to>
      <xdr:col>3</xdr:col>
      <xdr:colOff>152400</xdr:colOff>
      <xdr:row>9</xdr:row>
      <xdr:rowOff>58113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9DD93018-15F2-EE4F-3299-9EBA031D5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ackgroundRemoval t="10000" b="100000" l="10000" r="10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2437751" y="238439"/>
          <a:ext cx="1591324" cy="1896124"/>
        </a:xfrm>
        <a:prstGeom prst="rect">
          <a:avLst/>
        </a:prstGeom>
      </xdr:spPr>
    </xdr:pic>
    <xdr:clientData/>
  </xdr:twoCellAnchor>
  <xdr:twoCellAnchor>
    <xdr:from>
      <xdr:col>2</xdr:col>
      <xdr:colOff>857250</xdr:colOff>
      <xdr:row>5</xdr:row>
      <xdr:rowOff>66675</xdr:rowOff>
    </xdr:from>
    <xdr:to>
      <xdr:col>4</xdr:col>
      <xdr:colOff>647700</xdr:colOff>
      <xdr:row>11</xdr:row>
      <xdr:rowOff>38100</xdr:rowOff>
    </xdr:to>
    <xdr:sp macro="" textlink="Calculos!D11">
      <xdr:nvSpPr>
        <xdr:cNvPr id="24" name="CuadroTexto 23">
          <a:extLst>
            <a:ext uri="{FF2B5EF4-FFF2-40B4-BE49-F238E27FC236}">
              <a16:creationId xmlns:a16="http://schemas.microsoft.com/office/drawing/2014/main" id="{BD38E7F8-96CB-ADC0-239E-64E9E9D3287D}"/>
            </a:ext>
          </a:extLst>
        </xdr:cNvPr>
        <xdr:cNvSpPr txBox="1"/>
      </xdr:nvSpPr>
      <xdr:spPr>
        <a:xfrm>
          <a:off x="3686175" y="1057275"/>
          <a:ext cx="2324100" cy="1114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4DC63A01-C32A-4220-9293-0C22D097D3E7}" type="TxLink">
            <a:rPr lang="en-US" sz="2000" b="0" i="0" u="none" strike="noStrike">
              <a:solidFill>
                <a:srgbClr val="000000"/>
              </a:solidFill>
              <a:latin typeface="Bahnschrift Condensed" panose="020B0502040204020203" pitchFamily="34" charset="0"/>
              <a:cs typeface="Calibri"/>
            </a:rPr>
            <a:pPr algn="ctr"/>
            <a:t>Grão inteiro</a:t>
          </a:fld>
          <a:endParaRPr lang="es-CO" sz="2000">
            <a:latin typeface="Bahnschrift Condensed" panose="020B0502040204020203" pitchFamily="34" charset="0"/>
          </a:endParaRPr>
        </a:p>
      </xdr:txBody>
    </xdr:sp>
    <xdr:clientData/>
  </xdr:twoCellAnchor>
  <xdr:twoCellAnchor>
    <xdr:from>
      <xdr:col>5</xdr:col>
      <xdr:colOff>828675</xdr:colOff>
      <xdr:row>6</xdr:row>
      <xdr:rowOff>47625</xdr:rowOff>
    </xdr:from>
    <xdr:to>
      <xdr:col>7</xdr:col>
      <xdr:colOff>400050</xdr:colOff>
      <xdr:row>10</xdr:row>
      <xdr:rowOff>57150</xdr:rowOff>
    </xdr:to>
    <xdr:sp macro="" textlink="Calculos!D10">
      <xdr:nvSpPr>
        <xdr:cNvPr id="25" name="CuadroTexto 24">
          <a:extLst>
            <a:ext uri="{FF2B5EF4-FFF2-40B4-BE49-F238E27FC236}">
              <a16:creationId xmlns:a16="http://schemas.microsoft.com/office/drawing/2014/main" id="{A337C8F5-FE1D-7C24-4D69-D29C269C95C3}"/>
            </a:ext>
          </a:extLst>
        </xdr:cNvPr>
        <xdr:cNvSpPr txBox="1"/>
      </xdr:nvSpPr>
      <xdr:spPr>
        <a:xfrm>
          <a:off x="7391400" y="1323975"/>
          <a:ext cx="2076450" cy="7715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756BF846-5651-420D-8C22-5B5110571885}" type="TxLink">
            <a:rPr lang="en-US" sz="1800" b="0" i="0" u="none" strike="noStrike">
              <a:solidFill>
                <a:srgbClr val="000000"/>
              </a:solidFill>
              <a:latin typeface="Bahnschrift Condensed" panose="020B0502040204020203" pitchFamily="34" charset="0"/>
              <a:cs typeface="Calibri"/>
            </a:rPr>
            <a:pPr algn="ctr"/>
            <a:t>Café de Origen Huila (500g)</a:t>
          </a:fld>
          <a:endParaRPr lang="es-CO" sz="1800">
            <a:latin typeface="Bahnschrift Condensed" panose="020B0502040204020203" pitchFamily="34" charset="0"/>
          </a:endParaRPr>
        </a:p>
      </xdr:txBody>
    </xdr:sp>
    <xdr:clientData/>
  </xdr:twoCellAnchor>
  <xdr:twoCellAnchor editAs="oneCell">
    <xdr:from>
      <xdr:col>0</xdr:col>
      <xdr:colOff>638176</xdr:colOff>
      <xdr:row>0</xdr:row>
      <xdr:rowOff>9525</xdr:rowOff>
    </xdr:from>
    <xdr:to>
      <xdr:col>0</xdr:col>
      <xdr:colOff>1495426</xdr:colOff>
      <xdr:row>3</xdr:row>
      <xdr:rowOff>238125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5B420147-A0FF-821E-95D6-995A27918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176" y="9525"/>
          <a:ext cx="857250" cy="857250"/>
        </a:xfrm>
        <a:prstGeom prst="ellipse">
          <a:avLst/>
        </a:prstGeom>
        <a:ln w="190500" cap="rnd">
          <a:noFill/>
          <a:prstDash val="solid"/>
        </a:ln>
        <a:effectLst>
          <a:outerShdw blurRad="127000" algn="bl" rotWithShape="0">
            <a:srgbClr val="000000"/>
          </a:outerShdw>
        </a:effectLst>
        <a:scene3d>
          <a:camera prst="perspectiveFront" fov="5400000"/>
          <a:lightRig rig="threePt" dir="t">
            <a:rot lat="0" lon="0" rev="19200000"/>
          </a:lightRig>
        </a:scene3d>
        <a:sp3d extrusionH="25400">
          <a:bevelT w="304800" h="152400" prst="hardEdge"/>
          <a:extrusionClr>
            <a:srgbClr val="000000"/>
          </a:extrusionClr>
        </a:sp3d>
      </xdr:spPr>
    </xdr:pic>
    <xdr:clientData/>
  </xdr:twoCellAnchor>
  <xdr:twoCellAnchor>
    <xdr:from>
      <xdr:col>0</xdr:col>
      <xdr:colOff>114300</xdr:colOff>
      <xdr:row>2</xdr:row>
      <xdr:rowOff>9525</xdr:rowOff>
    </xdr:from>
    <xdr:to>
      <xdr:col>1</xdr:col>
      <xdr:colOff>123826</xdr:colOff>
      <xdr:row>4</xdr:row>
      <xdr:rowOff>57150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CC41FA61-48E7-E0B3-5B01-55306CD4B0DB}"/>
            </a:ext>
          </a:extLst>
        </xdr:cNvPr>
        <xdr:cNvSpPr/>
      </xdr:nvSpPr>
      <xdr:spPr>
        <a:xfrm>
          <a:off x="114300" y="390525"/>
          <a:ext cx="1914526" cy="6381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400" b="1">
              <a:solidFill>
                <a:schemeClr val="lt1"/>
              </a:solidFill>
              <a:effectLst/>
              <a:latin typeface="Bahnschrift Condensed" panose="020B0502040204020203" pitchFamily="34" charset="0"/>
              <a:ea typeface="+mn-ea"/>
              <a:cs typeface="+mn-cs"/>
            </a:rPr>
            <a:t>&gt; Bem</a:t>
          </a:r>
          <a:r>
            <a:rPr lang="pt-BR" sz="1400" b="1" baseline="0">
              <a:solidFill>
                <a:schemeClr val="lt1"/>
              </a:solidFill>
              <a:effectLst/>
              <a:latin typeface="Bahnschrift Condensed" panose="020B0502040204020203" pitchFamily="34" charset="0"/>
              <a:ea typeface="+mn-ea"/>
              <a:cs typeface="+mn-cs"/>
            </a:rPr>
            <a:t> </a:t>
          </a:r>
          <a:r>
            <a:rPr lang="pt-BR" sz="1400" b="1">
              <a:solidFill>
                <a:schemeClr val="lt1"/>
              </a:solidFill>
              <a:effectLst/>
              <a:latin typeface="Bahnschrift Condensed" panose="020B0502040204020203" pitchFamily="34" charset="0"/>
              <a:ea typeface="+mn-ea"/>
              <a:cs typeface="+mn-cs"/>
            </a:rPr>
            <a:t>vindos </a:t>
          </a:r>
        </a:p>
      </xdr:txBody>
    </xdr:sp>
    <xdr:clientData/>
  </xdr:twoCellAnchor>
  <xdr:twoCellAnchor editAs="oneCell">
    <xdr:from>
      <xdr:col>0</xdr:col>
      <xdr:colOff>47625</xdr:colOff>
      <xdr:row>4</xdr:row>
      <xdr:rowOff>9525</xdr:rowOff>
    </xdr:from>
    <xdr:to>
      <xdr:col>0</xdr:col>
      <xdr:colOff>1876425</xdr:colOff>
      <xdr:row>17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3" name="Origem 1">
              <a:extLst>
                <a:ext uri="{FF2B5EF4-FFF2-40B4-BE49-F238E27FC236}">
                  <a16:creationId xmlns:a16="http://schemas.microsoft.com/office/drawing/2014/main" id="{A656AF0D-8E6B-43BF-8E7C-D9DF896F23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igem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9810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57150</xdr:colOff>
      <xdr:row>11</xdr:row>
      <xdr:rowOff>95249</xdr:rowOff>
    </xdr:from>
    <xdr:to>
      <xdr:col>8</xdr:col>
      <xdr:colOff>447675</xdr:colOff>
      <xdr:row>27</xdr:row>
      <xdr:rowOff>95250</xdr:rowOff>
    </xdr:to>
    <xdr:graphicFrame macro="">
      <xdr:nvGraphicFramePr>
        <xdr:cNvPr id="35" name="Gráfico 34">
          <a:extLst>
            <a:ext uri="{FF2B5EF4-FFF2-40B4-BE49-F238E27FC236}">
              <a16:creationId xmlns:a16="http://schemas.microsoft.com/office/drawing/2014/main" id="{C9CD6038-8C85-411B-A236-863066C14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742950</xdr:colOff>
      <xdr:row>2</xdr:row>
      <xdr:rowOff>171450</xdr:rowOff>
    </xdr:from>
    <xdr:to>
      <xdr:col>7</xdr:col>
      <xdr:colOff>285750</xdr:colOff>
      <xdr:row>16</xdr:row>
      <xdr:rowOff>28575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Origem">
              <a:extLst>
                <a:ext uri="{FF2B5EF4-FFF2-40B4-BE49-F238E27FC236}">
                  <a16:creationId xmlns:a16="http://schemas.microsoft.com/office/drawing/2014/main" id="{CAA4F5B8-2E69-8D0E-5FAE-3AD32C1B9F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ig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77000" y="56197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7</xdr:col>
      <xdr:colOff>466725</xdr:colOff>
      <xdr:row>2</xdr:row>
      <xdr:rowOff>42862</xdr:rowOff>
    </xdr:from>
    <xdr:to>
      <xdr:col>13</xdr:col>
      <xdr:colOff>466725</xdr:colOff>
      <xdr:row>16</xdr:row>
      <xdr:rowOff>119062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78199A4-5284-3234-D1EF-D5DE97F7E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ecilia cuevas" refreshedDate="46289.830047685187" createdVersion="8" refreshedVersion="8" minRefreshableVersion="3" recordCount="20" xr:uid="{9B010769-BA70-498D-91B4-2EB4C5251CBD}">
  <cacheSource type="worksheet">
    <worksheetSource ref="A1:I21" sheet="BD_Ventas"/>
  </cacheSource>
  <cacheFields count="9">
    <cacheField name="ID Producto" numFmtId="0">
      <sharedItems/>
    </cacheField>
    <cacheField name="Data" numFmtId="0">
      <sharedItems/>
    </cacheField>
    <cacheField name="Categoría" numFmtId="0">
      <sharedItems count="5">
        <s v="Grão inteiro"/>
        <s v="Cápsula"/>
        <s v="Café Moído"/>
        <s v="Bebida pronta"/>
        <s v="Edição Especial"/>
      </sharedItems>
    </cacheField>
    <cacheField name="Producto" numFmtId="0">
      <sharedItems count="10">
        <s v="Café de Origen Huila (500g)"/>
        <s v="Cápsulas Espresso Intenso (10u)"/>
        <s v="Espresso Roast Blend (1kg)"/>
        <s v="Café Molido Tostado Medio (500g)"/>
        <s v="Café Especial Geisha (250g)"/>
        <s v="Café de Origen Antigua (500g)"/>
        <s v="Cold Brew Concentrate (1L)"/>
        <s v="Cápsulas Vainilla Latte (10u)"/>
        <s v="Café Orgánico Sierra Nevada (500g)"/>
        <s v="Café Descafeinado Suave (500g)"/>
      </sharedItems>
    </cacheField>
    <cacheField name="Origem" numFmtId="0">
      <sharedItems count="8">
        <s v="Colombia"/>
        <s v="Mexico"/>
        <s v="Argentina"/>
        <s v="Panamá"/>
        <s v="Guatemala"/>
        <s v="Brasil"/>
        <s v="Bolivia"/>
        <s v="Perú"/>
      </sharedItems>
    </cacheField>
    <cacheField name="Canal de Venta" numFmtId="0">
      <sharedItems count="3">
        <s v="Cafetería / Tienda"/>
        <s v="E-commerce"/>
        <s v="Distribuidor B2B"/>
      </sharedItems>
    </cacheField>
    <cacheField name="Cantidad" numFmtId="3">
      <sharedItems containsSemiMixedTypes="0" containsString="0" containsNumber="1" containsInteger="1" minValue="3" maxValue="60" count="18">
        <n v="12"/>
        <n v="5"/>
        <n v="40"/>
        <n v="8"/>
        <n v="3"/>
        <n v="25"/>
        <n v="15"/>
        <n v="10"/>
        <n v="60"/>
        <n v="6"/>
        <n v="7"/>
        <n v="18"/>
        <n v="35"/>
        <n v="14"/>
        <n v="9"/>
        <n v="30"/>
        <n v="50"/>
        <n v="4"/>
      </sharedItems>
    </cacheField>
    <cacheField name="Precio Unitario ($)" numFmtId="164">
      <sharedItems containsSemiMixedTypes="0" containsString="0" containsNumber="1" minValue="7.5" maxValue="28" count="10">
        <n v="12.5"/>
        <n v="7.5"/>
        <n v="22"/>
        <n v="11"/>
        <n v="28"/>
        <n v="14"/>
        <n v="15"/>
        <n v="8"/>
        <n v="16.5"/>
        <n v="13"/>
      </sharedItems>
    </cacheField>
    <cacheField name="Total Venta ($)" numFmtId="164">
      <sharedItems containsSemiMixedTypes="0" containsString="0" containsNumber="1" minValue="37.5" maxValue="1100" count="20">
        <n v="150"/>
        <n v="37.5"/>
        <n v="880"/>
        <n v="88"/>
        <n v="84"/>
        <n v="350"/>
        <n v="225"/>
        <n v="80"/>
        <n v="750"/>
        <n v="99"/>
        <n v="220"/>
        <n v="91"/>
        <n v="135"/>
        <n v="490"/>
        <n v="154"/>
        <n v="112.5"/>
        <n v="495"/>
        <n v="120"/>
        <n v="1100"/>
        <n v="112"/>
      </sharedItems>
    </cacheField>
  </cacheFields>
  <extLst>
    <ext xmlns:x14="http://schemas.microsoft.com/office/spreadsheetml/2009/9/main" uri="{725AE2AE-9491-48be-B2B4-4EB974FC3084}">
      <x14:pivotCacheDefinition pivotCacheId="13065650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SKU-CAF-001"/>
    <s v="2026-09-01"/>
    <x v="0"/>
    <x v="0"/>
    <x v="0"/>
    <x v="0"/>
    <x v="0"/>
    <x v="0"/>
    <x v="0"/>
  </r>
  <r>
    <s v="SKU-CAF-006"/>
    <s v="2026-09-01"/>
    <x v="1"/>
    <x v="1"/>
    <x v="1"/>
    <x v="1"/>
    <x v="1"/>
    <x v="1"/>
    <x v="1"/>
  </r>
  <r>
    <s v="SKU-CAF-003"/>
    <s v="2026-09-02"/>
    <x v="0"/>
    <x v="2"/>
    <x v="2"/>
    <x v="2"/>
    <x v="2"/>
    <x v="2"/>
    <x v="2"/>
  </r>
  <r>
    <s v="SKU-CAF-004"/>
    <s v="2026-09-02"/>
    <x v="2"/>
    <x v="3"/>
    <x v="0"/>
    <x v="0"/>
    <x v="3"/>
    <x v="3"/>
    <x v="3"/>
  </r>
  <r>
    <s v="SKU-CAF-010"/>
    <s v="2026-09-03"/>
    <x v="2"/>
    <x v="4"/>
    <x v="3"/>
    <x v="1"/>
    <x v="4"/>
    <x v="4"/>
    <x v="4"/>
  </r>
  <r>
    <s v="SKU-CAF-002"/>
    <s v="2026-09-03"/>
    <x v="0"/>
    <x v="5"/>
    <x v="4"/>
    <x v="2"/>
    <x v="5"/>
    <x v="5"/>
    <x v="5"/>
  </r>
  <r>
    <s v="SKU-CAF-008"/>
    <s v="2026-09-04"/>
    <x v="3"/>
    <x v="6"/>
    <x v="5"/>
    <x v="0"/>
    <x v="6"/>
    <x v="6"/>
    <x v="6"/>
  </r>
  <r>
    <s v="SKU-CAF-007"/>
    <s v="2026-09-04"/>
    <x v="1"/>
    <x v="7"/>
    <x v="6"/>
    <x v="1"/>
    <x v="7"/>
    <x v="7"/>
    <x v="7"/>
  </r>
  <r>
    <s v="SKU-CAF-001"/>
    <s v="2026-09-05"/>
    <x v="0"/>
    <x v="0"/>
    <x v="0"/>
    <x v="2"/>
    <x v="8"/>
    <x v="0"/>
    <x v="8"/>
  </r>
  <r>
    <s v="SKU-CAF-009"/>
    <s v="2026-09-05"/>
    <x v="4"/>
    <x v="8"/>
    <x v="0"/>
    <x v="1"/>
    <x v="9"/>
    <x v="8"/>
    <x v="9"/>
  </r>
  <r>
    <s v="SKU-CAF-003"/>
    <s v="2026-09-06"/>
    <x v="0"/>
    <x v="2"/>
    <x v="2"/>
    <x v="0"/>
    <x v="7"/>
    <x v="2"/>
    <x v="10"/>
  </r>
  <r>
    <s v="SKU-CAF-005"/>
    <s v="2026-09-06"/>
    <x v="2"/>
    <x v="9"/>
    <x v="7"/>
    <x v="0"/>
    <x v="10"/>
    <x v="9"/>
    <x v="11"/>
  </r>
  <r>
    <s v="SKU-CAF-006"/>
    <s v="2026-09-07"/>
    <x v="1"/>
    <x v="1"/>
    <x v="1"/>
    <x v="1"/>
    <x v="11"/>
    <x v="1"/>
    <x v="12"/>
  </r>
  <r>
    <s v="SKU-CAF-002"/>
    <s v="2026-09-07"/>
    <x v="0"/>
    <x v="5"/>
    <x v="4"/>
    <x v="2"/>
    <x v="12"/>
    <x v="5"/>
    <x v="13"/>
  </r>
  <r>
    <s v="SKU-CAF-004"/>
    <s v="2026-09-08"/>
    <x v="2"/>
    <x v="3"/>
    <x v="0"/>
    <x v="1"/>
    <x v="13"/>
    <x v="3"/>
    <x v="14"/>
  </r>
  <r>
    <s v="SKU-CAF-001"/>
    <s v="2026-09-08"/>
    <x v="0"/>
    <x v="0"/>
    <x v="0"/>
    <x v="0"/>
    <x v="14"/>
    <x v="0"/>
    <x v="15"/>
  </r>
  <r>
    <s v="SKU-CAF-009"/>
    <s v="2026-09-09"/>
    <x v="4"/>
    <x v="8"/>
    <x v="0"/>
    <x v="2"/>
    <x v="15"/>
    <x v="8"/>
    <x v="16"/>
  </r>
  <r>
    <s v="SKU-CAF-008"/>
    <s v="2026-09-09"/>
    <x v="3"/>
    <x v="6"/>
    <x v="5"/>
    <x v="1"/>
    <x v="3"/>
    <x v="6"/>
    <x v="17"/>
  </r>
  <r>
    <s v="SKU-CAF-003"/>
    <s v="2026-09-10"/>
    <x v="0"/>
    <x v="2"/>
    <x v="2"/>
    <x v="2"/>
    <x v="16"/>
    <x v="2"/>
    <x v="18"/>
  </r>
  <r>
    <s v="SKU-CAF-010"/>
    <s v="2026-09-10"/>
    <x v="2"/>
    <x v="4"/>
    <x v="3"/>
    <x v="0"/>
    <x v="17"/>
    <x v="4"/>
    <x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F16FCA-EB52-48B6-ABD5-1DA8DDDAFA2C}" name="TablaDiná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2">
  <location ref="B9:C22" firstHeaderRow="1" firstDataRow="1" firstDataCol="1" rowPageCount="1" colPageCount="1"/>
  <pivotFields count="9">
    <pivotField showAll="0"/>
    <pivotField showAll="0"/>
    <pivotField axis="axisRow" showAll="0">
      <items count="6">
        <item x="3"/>
        <item x="2"/>
        <item x="1"/>
        <item x="4"/>
        <item x="0"/>
        <item t="default"/>
      </items>
    </pivotField>
    <pivotField axis="axisRow" showAll="0">
      <items count="11">
        <item x="5"/>
        <item x="0"/>
        <item x="9"/>
        <item x="4"/>
        <item x="3"/>
        <item x="8"/>
        <item x="1"/>
        <item x="7"/>
        <item x="6"/>
        <item x="2"/>
        <item t="default"/>
      </items>
    </pivotField>
    <pivotField axis="axisPage" showAll="0">
      <items count="9">
        <item x="2"/>
        <item x="6"/>
        <item x="5"/>
        <item x="0"/>
        <item x="4"/>
        <item x="1"/>
        <item x="3"/>
        <item x="7"/>
        <item t="default"/>
      </items>
    </pivotField>
    <pivotField axis="axisRow" showAll="0">
      <items count="4">
        <item x="0"/>
        <item x="2"/>
        <item x="1"/>
        <item t="default"/>
      </items>
    </pivotField>
    <pivotField dataField="1" numFmtId="3" showAll="0"/>
    <pivotField numFmtId="164" showAll="0"/>
    <pivotField numFmtId="164" showAll="0"/>
  </pivotFields>
  <rowFields count="3">
    <field x="3"/>
    <field x="2"/>
    <field x="5"/>
  </rowFields>
  <rowItems count="13">
    <i>
      <x v="1"/>
    </i>
    <i r="1">
      <x v="4"/>
    </i>
    <i r="2">
      <x/>
    </i>
    <i r="2">
      <x v="1"/>
    </i>
    <i>
      <x v="4"/>
    </i>
    <i r="1">
      <x v="1"/>
    </i>
    <i r="2">
      <x/>
    </i>
    <i r="2">
      <x v="2"/>
    </i>
    <i>
      <x v="5"/>
    </i>
    <i r="1">
      <x v="3"/>
    </i>
    <i r="2">
      <x v="1"/>
    </i>
    <i r="2">
      <x v="2"/>
    </i>
    <i t="grand">
      <x/>
    </i>
  </rowItems>
  <colItems count="1">
    <i/>
  </colItems>
  <pageFields count="1">
    <pageField fld="4" item="3" hier="-1"/>
  </pageFields>
  <dataFields count="1">
    <dataField name="Suma de Cantidad" fld="6" baseField="0" baseItem="0" numFmtId="3"/>
  </dataFields>
  <chartFormats count="6">
    <chartFormat chart="2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Origem" xr10:uid="{EAF61B4A-145D-47E5-8FF2-148BE8244C00}" sourceName="Origem">
  <pivotTables>
    <pivotTable tabId="4" name="TablaDinámica12"/>
  </pivotTables>
  <data>
    <tabular pivotCacheId="1306565070">
      <items count="8">
        <i x="2"/>
        <i x="6"/>
        <i x="5"/>
        <i x="0" s="1"/>
        <i x="4"/>
        <i x="1"/>
        <i x="3"/>
        <i x="7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rigem 1" xr10:uid="{951EF957-8DBA-454D-8D0B-71205CB33CA9}" cache="SegmentaciónDeDatos_Origem" caption="Origem" style="SlicerStyleLight6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rigem" xr10:uid="{5B2B8DD6-870C-4123-AF75-04C9954E21CC}" cache="SegmentaciónDeDatos_Origem" caption="Origem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OJ136"/>
  <sheetViews>
    <sheetView tabSelected="1" workbookViewId="0">
      <selection activeCell="A24" sqref="A24"/>
    </sheetView>
  </sheetViews>
  <sheetFormatPr baseColWidth="10" defaultColWidth="0" defaultRowHeight="15" x14ac:dyDescent="0.25"/>
  <cols>
    <col min="1" max="1" width="28.5703125" style="17" customWidth="1"/>
    <col min="2" max="2" width="13.85546875" customWidth="1"/>
    <col min="3" max="3" width="18" customWidth="1"/>
    <col min="4" max="4" width="20" customWidth="1"/>
    <col min="5" max="5" width="18" customWidth="1"/>
    <col min="6" max="6" width="19.5703125" customWidth="1"/>
    <col min="7" max="7" width="18" customWidth="1"/>
    <col min="8" max="8" width="14.85546875" customWidth="1"/>
    <col min="9" max="9" width="6.85546875" customWidth="1"/>
    <col min="10" max="10" width="18" customWidth="1"/>
    <col min="11" max="11" width="18" hidden="1" customWidth="1"/>
    <col min="12" max="3780" width="0" hidden="1" customWidth="1"/>
    <col min="3781" max="16384" width="9.140625" hidden="1"/>
  </cols>
  <sheetData>
    <row r="1" spans="2:12" s="17" customFormat="1" x14ac:dyDescent="0.25"/>
    <row r="2" spans="2:12" s="17" customFormat="1" x14ac:dyDescent="0.25"/>
    <row r="3" spans="2:12" s="17" customFormat="1" ht="19.5" customHeight="1" x14ac:dyDescent="0.25">
      <c r="C3" s="19" t="s">
        <v>76</v>
      </c>
      <c r="D3" s="19"/>
      <c r="E3" s="19"/>
      <c r="F3" s="19"/>
    </row>
    <row r="4" spans="2:12" s="17" customFormat="1" ht="27" customHeight="1" x14ac:dyDescent="0.25">
      <c r="C4" s="20" t="s">
        <v>75</v>
      </c>
      <c r="D4" s="20"/>
      <c r="E4" s="20"/>
      <c r="F4" s="20"/>
      <c r="G4" s="20"/>
      <c r="H4" s="20"/>
      <c r="I4" s="20"/>
      <c r="J4" s="20"/>
      <c r="K4" s="20"/>
      <c r="L4" s="20"/>
    </row>
    <row r="5" spans="2:12" x14ac:dyDescent="0.25">
      <c r="B5" s="22"/>
      <c r="C5" s="22"/>
      <c r="D5" s="22"/>
      <c r="E5" s="22"/>
      <c r="F5" s="22"/>
      <c r="G5" s="22"/>
      <c r="H5" s="22"/>
      <c r="I5" s="22"/>
      <c r="J5" s="22"/>
      <c r="K5" s="21"/>
    </row>
    <row r="6" spans="2:12" x14ac:dyDescent="0.25">
      <c r="B6" s="22"/>
      <c r="C6" s="22"/>
      <c r="D6" s="22"/>
      <c r="E6" s="22"/>
      <c r="F6" s="22"/>
      <c r="G6" s="22"/>
      <c r="H6" s="22"/>
      <c r="I6" s="22"/>
      <c r="J6" s="22"/>
      <c r="K6" s="21"/>
      <c r="L6" s="18"/>
    </row>
    <row r="7" spans="2:12" x14ac:dyDescent="0.25">
      <c r="B7" s="22"/>
      <c r="C7" s="22"/>
      <c r="D7" s="22"/>
      <c r="E7" s="22"/>
      <c r="F7" s="22"/>
      <c r="G7" s="22"/>
      <c r="H7" s="22"/>
      <c r="I7" s="22"/>
      <c r="J7" s="22"/>
      <c r="K7" s="21"/>
    </row>
    <row r="8" spans="2:12" x14ac:dyDescent="0.25">
      <c r="B8" s="22"/>
      <c r="C8" s="22"/>
      <c r="D8" s="22"/>
      <c r="E8" s="22"/>
      <c r="F8" s="22"/>
      <c r="G8" s="22"/>
      <c r="H8" s="22"/>
      <c r="I8" s="22"/>
      <c r="J8" s="22"/>
      <c r="K8" s="21"/>
    </row>
    <row r="9" spans="2:12" x14ac:dyDescent="0.25">
      <c r="B9" s="22"/>
      <c r="C9" s="22"/>
      <c r="D9" s="22"/>
      <c r="E9" s="22"/>
      <c r="F9" s="22"/>
      <c r="G9" s="22"/>
      <c r="H9" s="22"/>
      <c r="I9" s="22"/>
      <c r="J9" s="22"/>
      <c r="K9" s="21"/>
    </row>
    <row r="10" spans="2:12" x14ac:dyDescent="0.25">
      <c r="B10" s="22"/>
      <c r="C10" s="22"/>
      <c r="D10" s="22"/>
      <c r="E10" s="22"/>
      <c r="F10" s="22"/>
      <c r="G10" s="22"/>
      <c r="H10" s="22"/>
      <c r="I10" s="22"/>
      <c r="J10" s="22"/>
      <c r="K10" s="21"/>
    </row>
    <row r="11" spans="2:12" x14ac:dyDescent="0.25">
      <c r="B11" s="22"/>
      <c r="C11" s="22"/>
      <c r="D11" s="22"/>
      <c r="E11" s="22"/>
      <c r="F11" s="22"/>
      <c r="G11" s="22"/>
      <c r="H11" s="22"/>
      <c r="I11" s="22"/>
      <c r="J11" s="22"/>
      <c r="K11" s="21"/>
    </row>
    <row r="12" spans="2:12" x14ac:dyDescent="0.25">
      <c r="B12" s="22"/>
      <c r="C12" s="22"/>
      <c r="D12" s="22"/>
      <c r="E12" s="22"/>
      <c r="F12" s="22"/>
      <c r="G12" s="22"/>
      <c r="H12" s="22"/>
      <c r="I12" s="22"/>
      <c r="J12" s="22"/>
      <c r="K12" s="21"/>
    </row>
    <row r="13" spans="2:12" x14ac:dyDescent="0.25">
      <c r="B13" s="22"/>
      <c r="C13" s="22"/>
      <c r="D13" s="22"/>
      <c r="E13" s="22"/>
      <c r="F13" s="22"/>
      <c r="G13" s="22"/>
      <c r="H13" s="22"/>
      <c r="I13" s="22"/>
      <c r="J13" s="22"/>
      <c r="K13" s="21"/>
    </row>
    <row r="14" spans="2:12" x14ac:dyDescent="0.25">
      <c r="B14" s="22"/>
      <c r="C14" s="22"/>
      <c r="D14" s="22"/>
      <c r="E14" s="22"/>
      <c r="F14" s="22"/>
      <c r="G14" s="22"/>
      <c r="H14" s="22"/>
      <c r="I14" s="22"/>
      <c r="J14" s="22"/>
      <c r="K14" s="21"/>
    </row>
    <row r="15" spans="2:12" x14ac:dyDescent="0.25">
      <c r="B15" s="22"/>
      <c r="C15" s="22"/>
      <c r="D15" s="22"/>
      <c r="E15" s="22"/>
      <c r="F15" s="22"/>
      <c r="G15" s="22"/>
      <c r="H15" s="22"/>
      <c r="I15" s="22"/>
      <c r="J15" s="22"/>
      <c r="K15" s="21"/>
    </row>
    <row r="16" spans="2:12" x14ac:dyDescent="0.25">
      <c r="B16" s="22"/>
      <c r="C16" s="22"/>
      <c r="D16" s="22"/>
      <c r="E16" s="22"/>
      <c r="F16" s="22"/>
      <c r="G16" s="22"/>
      <c r="H16" s="22"/>
      <c r="I16" s="22"/>
      <c r="J16" s="22"/>
      <c r="K16" s="21"/>
    </row>
    <row r="17" spans="2:11" x14ac:dyDescent="0.25">
      <c r="B17" s="22"/>
      <c r="C17" s="22"/>
      <c r="D17" s="22"/>
      <c r="E17" s="22"/>
      <c r="F17" s="22"/>
      <c r="G17" s="22"/>
      <c r="H17" s="22"/>
      <c r="I17" s="22"/>
      <c r="J17" s="22"/>
      <c r="K17" s="21"/>
    </row>
    <row r="18" spans="2:11" ht="17.25" x14ac:dyDescent="0.3">
      <c r="B18" s="23"/>
      <c r="C18" s="22"/>
      <c r="D18" s="22"/>
      <c r="E18" s="22"/>
      <c r="F18" s="22"/>
      <c r="G18" s="22"/>
      <c r="H18" s="22"/>
      <c r="I18" s="22"/>
      <c r="J18" s="22"/>
      <c r="K18" s="21"/>
    </row>
    <row r="19" spans="2:11" x14ac:dyDescent="0.25">
      <c r="B19" s="22"/>
      <c r="C19" s="22"/>
      <c r="D19" s="22"/>
      <c r="E19" s="22"/>
      <c r="F19" s="22"/>
      <c r="G19" s="22"/>
      <c r="H19" s="22"/>
      <c r="I19" s="22"/>
      <c r="J19" s="22"/>
      <c r="K19" s="21"/>
    </row>
    <row r="20" spans="2:11" x14ac:dyDescent="0.25">
      <c r="B20" s="22"/>
      <c r="C20" s="22"/>
      <c r="D20" s="22"/>
      <c r="E20" s="22"/>
      <c r="F20" s="22"/>
      <c r="G20" s="22"/>
      <c r="H20" s="22"/>
      <c r="I20" s="22"/>
      <c r="J20" s="22"/>
      <c r="K20" s="21"/>
    </row>
    <row r="21" spans="2:11" x14ac:dyDescent="0.25">
      <c r="B21" s="22"/>
      <c r="C21" s="22"/>
      <c r="D21" s="22"/>
      <c r="E21" s="22"/>
      <c r="F21" s="22"/>
      <c r="G21" s="22"/>
      <c r="H21" s="22"/>
      <c r="I21" s="22"/>
      <c r="J21" s="22"/>
      <c r="K21" s="21"/>
    </row>
    <row r="22" spans="2:11" x14ac:dyDescent="0.25">
      <c r="B22" s="22"/>
      <c r="C22" s="22"/>
      <c r="D22" s="22"/>
      <c r="E22" s="22"/>
      <c r="F22" s="22"/>
      <c r="G22" s="22"/>
      <c r="H22" s="22"/>
      <c r="I22" s="22"/>
      <c r="J22" s="22"/>
      <c r="K22" s="21"/>
    </row>
    <row r="23" spans="2:11" x14ac:dyDescent="0.25">
      <c r="B23" s="22"/>
      <c r="C23" s="22"/>
      <c r="D23" s="22"/>
      <c r="E23" s="22"/>
      <c r="F23" s="22"/>
      <c r="G23" s="22"/>
      <c r="H23" s="22"/>
      <c r="I23" s="22"/>
      <c r="J23" s="22"/>
      <c r="K23" s="21"/>
    </row>
    <row r="24" spans="2:11" x14ac:dyDescent="0.25">
      <c r="B24" s="22"/>
      <c r="C24" s="22"/>
      <c r="D24" s="22"/>
      <c r="E24" s="22"/>
      <c r="F24" s="22"/>
      <c r="G24" s="22"/>
      <c r="H24" s="22"/>
      <c r="I24" s="22"/>
      <c r="J24" s="22"/>
      <c r="K24" s="21"/>
    </row>
    <row r="25" spans="2:11" x14ac:dyDescent="0.25">
      <c r="B25" s="22"/>
      <c r="C25" s="22"/>
      <c r="D25" s="22"/>
      <c r="E25" s="22"/>
      <c r="F25" s="22"/>
      <c r="G25" s="22"/>
      <c r="H25" s="22"/>
      <c r="I25" s="22"/>
      <c r="J25" s="22"/>
      <c r="K25" s="21"/>
    </row>
    <row r="26" spans="2:11" x14ac:dyDescent="0.25">
      <c r="B26" s="22"/>
      <c r="C26" s="22"/>
      <c r="D26" s="22"/>
      <c r="E26" s="22"/>
      <c r="F26" s="22"/>
      <c r="G26" s="22"/>
      <c r="H26" s="22"/>
      <c r="I26" s="22"/>
      <c r="J26" s="22"/>
      <c r="K26" s="21"/>
    </row>
    <row r="27" spans="2:11" x14ac:dyDescent="0.25">
      <c r="B27" s="22"/>
      <c r="C27" s="22"/>
      <c r="D27" s="22"/>
      <c r="E27" s="22"/>
      <c r="F27" s="22"/>
      <c r="G27" s="22"/>
      <c r="H27" s="22"/>
      <c r="I27" s="22"/>
      <c r="J27" s="22"/>
      <c r="K27" s="21"/>
    </row>
    <row r="28" spans="2:11" x14ac:dyDescent="0.25">
      <c r="B28" s="22"/>
      <c r="C28" s="22"/>
      <c r="D28" s="22"/>
      <c r="E28" s="22"/>
      <c r="F28" s="22"/>
      <c r="G28" s="22"/>
      <c r="H28" s="22"/>
      <c r="I28" s="22"/>
      <c r="J28" s="22"/>
      <c r="K28" s="21"/>
    </row>
    <row r="29" spans="2:11" x14ac:dyDescent="0.25">
      <c r="B29" s="22"/>
      <c r="C29" s="22"/>
      <c r="D29" s="22"/>
      <c r="E29" s="22"/>
      <c r="F29" s="22"/>
      <c r="G29" s="22"/>
      <c r="H29" s="22"/>
      <c r="I29" s="22"/>
      <c r="J29" s="22"/>
      <c r="K29" s="21"/>
    </row>
    <row r="30" spans="2:11" x14ac:dyDescent="0.25">
      <c r="B30" s="22"/>
      <c r="C30" s="22"/>
      <c r="D30" s="22"/>
      <c r="E30" s="22"/>
      <c r="F30" s="22"/>
      <c r="G30" s="22"/>
      <c r="H30" s="22"/>
      <c r="I30" s="22"/>
      <c r="J30" s="22"/>
      <c r="K30" s="21"/>
    </row>
    <row r="31" spans="2:11" x14ac:dyDescent="0.25">
      <c r="B31" s="22"/>
      <c r="C31" s="22"/>
      <c r="D31" s="22"/>
      <c r="E31" s="22"/>
      <c r="F31" s="22"/>
      <c r="G31" s="22"/>
      <c r="H31" s="22"/>
      <c r="I31" s="22"/>
      <c r="J31" s="22"/>
      <c r="K31" s="21"/>
    </row>
    <row r="32" spans="2:11" x14ac:dyDescent="0.25">
      <c r="B32" s="22"/>
      <c r="C32" s="22"/>
      <c r="D32" s="22"/>
      <c r="E32" s="22"/>
      <c r="F32" s="22"/>
      <c r="G32" s="22"/>
      <c r="H32" s="22"/>
      <c r="I32" s="22"/>
      <c r="J32" s="22"/>
      <c r="K32" s="21"/>
    </row>
    <row r="33" spans="2:11" x14ac:dyDescent="0.25">
      <c r="B33" s="22"/>
      <c r="C33" s="22"/>
      <c r="D33" s="22"/>
      <c r="E33" s="22"/>
      <c r="F33" s="22"/>
      <c r="G33" s="22"/>
      <c r="H33" s="22"/>
      <c r="I33" s="22"/>
      <c r="J33" s="22"/>
      <c r="K33" s="21"/>
    </row>
    <row r="34" spans="2:11" x14ac:dyDescent="0.25">
      <c r="B34" s="22"/>
      <c r="C34" s="22"/>
      <c r="D34" s="22"/>
      <c r="E34" s="22"/>
      <c r="F34" s="22"/>
      <c r="G34" s="22"/>
      <c r="H34" s="22"/>
      <c r="I34" s="22"/>
      <c r="J34" s="22"/>
      <c r="K34" s="21"/>
    </row>
    <row r="35" spans="2:11" x14ac:dyDescent="0.25">
      <c r="B35" s="22"/>
      <c r="C35" s="22"/>
      <c r="D35" s="22"/>
      <c r="E35" s="22"/>
      <c r="F35" s="22"/>
      <c r="G35" s="22"/>
      <c r="H35" s="22"/>
      <c r="I35" s="22"/>
      <c r="J35" s="22"/>
      <c r="K35" s="21"/>
    </row>
    <row r="36" spans="2:11" x14ac:dyDescent="0.25">
      <c r="B36" s="22"/>
      <c r="C36" s="22"/>
      <c r="D36" s="22"/>
      <c r="E36" s="22"/>
      <c r="F36" s="22"/>
      <c r="G36" s="22"/>
      <c r="H36" s="22"/>
      <c r="I36" s="22"/>
      <c r="J36" s="22"/>
      <c r="K36" s="21"/>
    </row>
    <row r="37" spans="2:11" x14ac:dyDescent="0.25">
      <c r="B37" s="22"/>
      <c r="C37" s="22"/>
      <c r="D37" s="22"/>
      <c r="E37" s="22"/>
      <c r="F37" s="22"/>
      <c r="G37" s="22"/>
      <c r="H37" s="22"/>
      <c r="I37" s="22"/>
      <c r="J37" s="22"/>
      <c r="K37" s="21"/>
    </row>
    <row r="38" spans="2:11" x14ac:dyDescent="0.25">
      <c r="B38" s="22"/>
      <c r="C38" s="22"/>
      <c r="D38" s="22"/>
      <c r="E38" s="22"/>
      <c r="F38" s="22"/>
      <c r="G38" s="22"/>
      <c r="H38" s="22"/>
      <c r="I38" s="22"/>
      <c r="J38" s="22"/>
      <c r="K38" s="21"/>
    </row>
    <row r="39" spans="2:11" x14ac:dyDescent="0.25">
      <c r="B39" s="22"/>
      <c r="C39" s="22"/>
      <c r="D39" s="22"/>
      <c r="E39" s="22"/>
      <c r="F39" s="22"/>
      <c r="G39" s="22"/>
      <c r="H39" s="22"/>
      <c r="I39" s="22"/>
      <c r="J39" s="22"/>
      <c r="K39" s="21"/>
    </row>
    <row r="40" spans="2:11" x14ac:dyDescent="0.25">
      <c r="B40" s="22"/>
      <c r="C40" s="22"/>
      <c r="D40" s="22"/>
      <c r="E40" s="22"/>
      <c r="F40" s="22"/>
      <c r="G40" s="22"/>
      <c r="H40" s="22"/>
      <c r="I40" s="22"/>
      <c r="J40" s="22"/>
      <c r="K40" s="21"/>
    </row>
    <row r="41" spans="2:11" x14ac:dyDescent="0.25">
      <c r="B41" s="22"/>
      <c r="C41" s="22"/>
      <c r="D41" s="22"/>
      <c r="E41" s="22"/>
      <c r="F41" s="22"/>
      <c r="G41" s="22"/>
      <c r="H41" s="22"/>
      <c r="I41" s="22"/>
      <c r="J41" s="22"/>
      <c r="K41" s="21"/>
    </row>
    <row r="42" spans="2:11" x14ac:dyDescent="0.25">
      <c r="B42" s="22"/>
      <c r="C42" s="22"/>
      <c r="D42" s="22"/>
      <c r="E42" s="22"/>
      <c r="F42" s="22"/>
      <c r="G42" s="22"/>
      <c r="H42" s="22"/>
      <c r="I42" s="22"/>
      <c r="J42" s="22"/>
      <c r="K42" s="21"/>
    </row>
    <row r="43" spans="2:11" x14ac:dyDescent="0.25">
      <c r="B43" s="22"/>
      <c r="C43" s="22"/>
      <c r="D43" s="22"/>
      <c r="E43" s="22"/>
      <c r="F43" s="22"/>
      <c r="G43" s="22"/>
      <c r="H43" s="22"/>
      <c r="I43" s="22"/>
      <c r="J43" s="22"/>
      <c r="K43" s="21"/>
    </row>
    <row r="44" spans="2:11" x14ac:dyDescent="0.25">
      <c r="B44" s="22"/>
      <c r="C44" s="22"/>
      <c r="D44" s="22"/>
      <c r="E44" s="22"/>
      <c r="F44" s="22"/>
      <c r="G44" s="22"/>
      <c r="H44" s="22"/>
      <c r="I44" s="22"/>
      <c r="J44" s="22"/>
      <c r="K44" s="21"/>
    </row>
    <row r="45" spans="2:11" x14ac:dyDescent="0.25">
      <c r="B45" s="22"/>
      <c r="C45" s="22"/>
      <c r="D45" s="22"/>
      <c r="E45" s="22"/>
      <c r="F45" s="22"/>
      <c r="G45" s="22"/>
      <c r="H45" s="22"/>
      <c r="I45" s="22"/>
      <c r="J45" s="22"/>
      <c r="K45" s="21"/>
    </row>
    <row r="46" spans="2:11" x14ac:dyDescent="0.25">
      <c r="B46" s="22"/>
      <c r="C46" s="22"/>
      <c r="D46" s="22"/>
      <c r="E46" s="22"/>
      <c r="F46" s="22"/>
      <c r="G46" s="22"/>
      <c r="H46" s="22"/>
      <c r="I46" s="22"/>
      <c r="J46" s="22"/>
      <c r="K46" s="21"/>
    </row>
    <row r="47" spans="2:11" x14ac:dyDescent="0.25">
      <c r="B47" s="22"/>
      <c r="C47" s="22"/>
      <c r="D47" s="22"/>
      <c r="E47" s="22"/>
      <c r="F47" s="22"/>
      <c r="G47" s="22"/>
      <c r="H47" s="22"/>
      <c r="I47" s="22"/>
      <c r="J47" s="22"/>
      <c r="K47" s="21"/>
    </row>
    <row r="48" spans="2:11" x14ac:dyDescent="0.25">
      <c r="B48" s="22"/>
      <c r="C48" s="22"/>
      <c r="D48" s="22"/>
      <c r="E48" s="22"/>
      <c r="F48" s="22"/>
      <c r="G48" s="22"/>
      <c r="H48" s="22"/>
      <c r="I48" s="22"/>
      <c r="J48" s="22"/>
      <c r="K48" s="21"/>
    </row>
    <row r="49" spans="2:11" x14ac:dyDescent="0.25">
      <c r="B49" s="22"/>
      <c r="C49" s="22"/>
      <c r="D49" s="22"/>
      <c r="E49" s="22"/>
      <c r="F49" s="22"/>
      <c r="G49" s="22"/>
      <c r="H49" s="22"/>
      <c r="I49" s="22"/>
      <c r="J49" s="22"/>
      <c r="K49" s="21"/>
    </row>
    <row r="50" spans="2:11" x14ac:dyDescent="0.25">
      <c r="B50" s="22"/>
      <c r="C50" s="22"/>
      <c r="D50" s="22"/>
      <c r="E50" s="22"/>
      <c r="F50" s="22"/>
      <c r="G50" s="22"/>
      <c r="H50" s="22"/>
      <c r="I50" s="22"/>
      <c r="J50" s="22"/>
      <c r="K50" s="21"/>
    </row>
    <row r="51" spans="2:11" x14ac:dyDescent="0.25">
      <c r="B51" s="22"/>
      <c r="C51" s="22"/>
      <c r="D51" s="22"/>
      <c r="E51" s="22"/>
      <c r="F51" s="22"/>
      <c r="G51" s="22"/>
      <c r="H51" s="22"/>
      <c r="I51" s="22"/>
      <c r="J51" s="22"/>
      <c r="K51" s="21"/>
    </row>
    <row r="52" spans="2:11" x14ac:dyDescent="0.25">
      <c r="B52" s="22"/>
      <c r="C52" s="22"/>
      <c r="D52" s="22"/>
      <c r="E52" s="22"/>
      <c r="F52" s="22"/>
      <c r="G52" s="22"/>
      <c r="H52" s="22"/>
      <c r="I52" s="22"/>
      <c r="J52" s="22"/>
      <c r="K52" s="21"/>
    </row>
    <row r="53" spans="2:11" x14ac:dyDescent="0.25">
      <c r="B53" s="22"/>
      <c r="C53" s="22"/>
      <c r="D53" s="22"/>
      <c r="E53" s="22"/>
      <c r="F53" s="22"/>
      <c r="G53" s="22"/>
      <c r="H53" s="22"/>
      <c r="I53" s="22"/>
      <c r="J53" s="22"/>
      <c r="K53" s="21"/>
    </row>
    <row r="54" spans="2:11" x14ac:dyDescent="0.25">
      <c r="B54" s="22"/>
      <c r="C54" s="22"/>
      <c r="D54" s="22"/>
      <c r="E54" s="22"/>
      <c r="F54" s="22"/>
      <c r="G54" s="22"/>
      <c r="H54" s="22"/>
      <c r="I54" s="22"/>
      <c r="J54" s="22"/>
      <c r="K54" s="21"/>
    </row>
    <row r="55" spans="2:11" x14ac:dyDescent="0.25">
      <c r="B55" s="22"/>
      <c r="C55" s="22"/>
      <c r="D55" s="22"/>
      <c r="E55" s="22"/>
      <c r="F55" s="22"/>
      <c r="G55" s="22"/>
      <c r="H55" s="22"/>
      <c r="I55" s="22"/>
      <c r="J55" s="22"/>
      <c r="K55" s="21"/>
    </row>
    <row r="56" spans="2:11" x14ac:dyDescent="0.25">
      <c r="B56" s="22"/>
      <c r="C56" s="22"/>
      <c r="D56" s="22"/>
      <c r="E56" s="22"/>
      <c r="F56" s="22"/>
      <c r="G56" s="22"/>
      <c r="H56" s="22"/>
      <c r="I56" s="22"/>
      <c r="J56" s="22"/>
      <c r="K56" s="21"/>
    </row>
    <row r="57" spans="2:11" x14ac:dyDescent="0.25">
      <c r="B57" s="22"/>
      <c r="C57" s="22"/>
      <c r="D57" s="22"/>
      <c r="E57" s="22"/>
      <c r="F57" s="22"/>
      <c r="G57" s="22"/>
      <c r="H57" s="22"/>
      <c r="I57" s="22"/>
      <c r="J57" s="22"/>
      <c r="K57" s="21"/>
    </row>
    <row r="58" spans="2:11" x14ac:dyDescent="0.25">
      <c r="B58" s="22"/>
      <c r="C58" s="22"/>
      <c r="D58" s="22"/>
      <c r="E58" s="22"/>
      <c r="F58" s="22"/>
      <c r="G58" s="22"/>
      <c r="H58" s="22"/>
      <c r="I58" s="22"/>
      <c r="J58" s="22"/>
      <c r="K58" s="21"/>
    </row>
    <row r="59" spans="2:11" x14ac:dyDescent="0.25">
      <c r="B59" s="22"/>
      <c r="C59" s="22"/>
      <c r="D59" s="22"/>
      <c r="E59" s="22"/>
      <c r="F59" s="22"/>
      <c r="G59" s="22"/>
      <c r="H59" s="22"/>
      <c r="I59" s="22"/>
      <c r="J59" s="22"/>
      <c r="K59" s="21"/>
    </row>
    <row r="60" spans="2:11" x14ac:dyDescent="0.25">
      <c r="B60" s="22"/>
      <c r="C60" s="22"/>
      <c r="D60" s="22"/>
      <c r="E60" s="22"/>
      <c r="F60" s="22"/>
      <c r="G60" s="22"/>
      <c r="H60" s="22"/>
      <c r="I60" s="22"/>
      <c r="J60" s="22"/>
      <c r="K60" s="21"/>
    </row>
    <row r="61" spans="2:11" x14ac:dyDescent="0.25">
      <c r="B61" s="22"/>
      <c r="C61" s="22"/>
      <c r="D61" s="22"/>
      <c r="E61" s="22"/>
      <c r="F61" s="22"/>
      <c r="G61" s="22"/>
      <c r="H61" s="22"/>
      <c r="I61" s="22"/>
      <c r="J61" s="22"/>
      <c r="K61" s="21"/>
    </row>
    <row r="62" spans="2:11" x14ac:dyDescent="0.25">
      <c r="B62" s="22"/>
      <c r="C62" s="22"/>
      <c r="D62" s="22"/>
      <c r="E62" s="22"/>
      <c r="F62" s="22"/>
      <c r="G62" s="22"/>
      <c r="H62" s="22"/>
      <c r="I62" s="22"/>
      <c r="J62" s="22"/>
      <c r="K62" s="21"/>
    </row>
    <row r="63" spans="2:11" x14ac:dyDescent="0.25">
      <c r="B63" s="22"/>
      <c r="C63" s="22"/>
      <c r="D63" s="22"/>
      <c r="E63" s="22"/>
      <c r="F63" s="22"/>
      <c r="G63" s="22"/>
      <c r="H63" s="22"/>
      <c r="I63" s="22"/>
      <c r="J63" s="22"/>
      <c r="K63" s="21"/>
    </row>
    <row r="64" spans="2:11" x14ac:dyDescent="0.25">
      <c r="B64" s="22"/>
      <c r="C64" s="22"/>
      <c r="D64" s="22"/>
      <c r="E64" s="22"/>
      <c r="F64" s="22"/>
      <c r="G64" s="22"/>
      <c r="H64" s="22"/>
      <c r="I64" s="22"/>
      <c r="J64" s="22"/>
      <c r="K64" s="21"/>
    </row>
    <row r="65" spans="2:11" x14ac:dyDescent="0.25">
      <c r="B65" s="22"/>
      <c r="C65" s="22"/>
      <c r="D65" s="22"/>
      <c r="E65" s="22"/>
      <c r="F65" s="22"/>
      <c r="G65" s="22"/>
      <c r="H65" s="22"/>
      <c r="I65" s="22"/>
      <c r="J65" s="22"/>
      <c r="K65" s="21"/>
    </row>
    <row r="66" spans="2:11" x14ac:dyDescent="0.25">
      <c r="B66" s="22"/>
      <c r="C66" s="22"/>
      <c r="D66" s="22"/>
      <c r="E66" s="22"/>
      <c r="F66" s="22"/>
      <c r="G66" s="22"/>
      <c r="H66" s="22"/>
      <c r="I66" s="22"/>
      <c r="J66" s="22"/>
      <c r="K66" s="21"/>
    </row>
    <row r="67" spans="2:11" x14ac:dyDescent="0.25">
      <c r="B67" s="22"/>
      <c r="C67" s="22"/>
      <c r="D67" s="22"/>
      <c r="E67" s="22"/>
      <c r="F67" s="22"/>
      <c r="G67" s="22"/>
      <c r="H67" s="22"/>
      <c r="I67" s="22"/>
      <c r="J67" s="22"/>
      <c r="K67" s="21"/>
    </row>
    <row r="68" spans="2:11" x14ac:dyDescent="0.25">
      <c r="B68" s="22"/>
      <c r="C68" s="22"/>
      <c r="D68" s="22"/>
      <c r="E68" s="22"/>
      <c r="F68" s="22"/>
      <c r="G68" s="22"/>
      <c r="H68" s="22"/>
      <c r="I68" s="22"/>
      <c r="J68" s="22"/>
      <c r="K68" s="21"/>
    </row>
    <row r="69" spans="2:11" x14ac:dyDescent="0.25">
      <c r="B69" s="22"/>
      <c r="C69" s="22"/>
      <c r="D69" s="22"/>
      <c r="E69" s="22"/>
      <c r="F69" s="22"/>
      <c r="G69" s="22"/>
      <c r="H69" s="22"/>
      <c r="I69" s="22"/>
      <c r="J69" s="22"/>
      <c r="K69" s="21"/>
    </row>
    <row r="70" spans="2:11" x14ac:dyDescent="0.25">
      <c r="B70" s="22"/>
      <c r="C70" s="22"/>
      <c r="D70" s="22"/>
      <c r="E70" s="22"/>
      <c r="F70" s="22"/>
      <c r="G70" s="22"/>
      <c r="H70" s="22"/>
      <c r="I70" s="22"/>
      <c r="J70" s="22"/>
      <c r="K70" s="21"/>
    </row>
    <row r="71" spans="2:11" x14ac:dyDescent="0.25">
      <c r="B71" s="22"/>
      <c r="C71" s="22"/>
      <c r="D71" s="22"/>
      <c r="E71" s="22"/>
      <c r="F71" s="22"/>
      <c r="G71" s="22"/>
      <c r="H71" s="22"/>
      <c r="I71" s="22"/>
      <c r="J71" s="22"/>
      <c r="K71" s="21"/>
    </row>
    <row r="72" spans="2:11" x14ac:dyDescent="0.25">
      <c r="B72" s="22"/>
      <c r="C72" s="22"/>
      <c r="D72" s="22"/>
      <c r="E72" s="22"/>
      <c r="F72" s="22"/>
      <c r="G72" s="22"/>
      <c r="H72" s="22"/>
      <c r="I72" s="22"/>
      <c r="J72" s="22"/>
      <c r="K72" s="21"/>
    </row>
    <row r="73" spans="2:11" x14ac:dyDescent="0.25">
      <c r="B73" s="22"/>
      <c r="C73" s="22"/>
      <c r="D73" s="22"/>
      <c r="E73" s="22"/>
      <c r="F73" s="22"/>
      <c r="G73" s="22"/>
      <c r="H73" s="22"/>
      <c r="I73" s="22"/>
      <c r="J73" s="22"/>
      <c r="K73" s="21"/>
    </row>
    <row r="74" spans="2:11" x14ac:dyDescent="0.25">
      <c r="B74" s="22"/>
      <c r="C74" s="22"/>
      <c r="D74" s="22"/>
      <c r="E74" s="22"/>
      <c r="F74" s="22"/>
      <c r="G74" s="22"/>
      <c r="H74" s="22"/>
      <c r="I74" s="22"/>
      <c r="J74" s="22"/>
      <c r="K74" s="21"/>
    </row>
    <row r="75" spans="2:11" x14ac:dyDescent="0.25">
      <c r="B75" s="22"/>
      <c r="C75" s="22"/>
      <c r="D75" s="22"/>
      <c r="E75" s="22"/>
      <c r="F75" s="22"/>
      <c r="G75" s="22"/>
      <c r="H75" s="22"/>
      <c r="I75" s="22"/>
      <c r="J75" s="22"/>
      <c r="K75" s="21"/>
    </row>
    <row r="76" spans="2:11" x14ac:dyDescent="0.25">
      <c r="B76" s="22"/>
      <c r="C76" s="22"/>
      <c r="D76" s="22"/>
      <c r="E76" s="22"/>
      <c r="F76" s="22"/>
      <c r="G76" s="22"/>
      <c r="H76" s="22"/>
      <c r="I76" s="22"/>
      <c r="J76" s="22"/>
      <c r="K76" s="21"/>
    </row>
    <row r="77" spans="2:11" x14ac:dyDescent="0.25">
      <c r="B77" s="22"/>
      <c r="C77" s="22"/>
      <c r="D77" s="22"/>
      <c r="E77" s="22"/>
      <c r="F77" s="22"/>
      <c r="G77" s="22"/>
      <c r="H77" s="22"/>
      <c r="I77" s="22"/>
      <c r="J77" s="22"/>
      <c r="K77" s="21"/>
    </row>
    <row r="78" spans="2:11" x14ac:dyDescent="0.25">
      <c r="B78" s="22"/>
      <c r="C78" s="22"/>
      <c r="D78" s="22"/>
      <c r="E78" s="22"/>
      <c r="F78" s="22"/>
      <c r="G78" s="22"/>
      <c r="H78" s="22"/>
      <c r="I78" s="22"/>
      <c r="J78" s="22"/>
      <c r="K78" s="21"/>
    </row>
    <row r="79" spans="2:11" x14ac:dyDescent="0.25">
      <c r="B79" s="22"/>
      <c r="C79" s="22"/>
      <c r="D79" s="22"/>
      <c r="E79" s="22"/>
      <c r="F79" s="22"/>
      <c r="G79" s="22"/>
      <c r="H79" s="22"/>
      <c r="I79" s="22"/>
      <c r="J79" s="22"/>
      <c r="K79" s="21"/>
    </row>
    <row r="80" spans="2:11" x14ac:dyDescent="0.25">
      <c r="B80" s="22"/>
      <c r="C80" s="22"/>
      <c r="D80" s="22"/>
      <c r="E80" s="22"/>
      <c r="F80" s="22"/>
      <c r="G80" s="22"/>
      <c r="H80" s="22"/>
      <c r="I80" s="22"/>
      <c r="J80" s="22"/>
      <c r="K80" s="21"/>
    </row>
    <row r="81" spans="2:11" x14ac:dyDescent="0.25">
      <c r="B81" s="22"/>
      <c r="C81" s="22"/>
      <c r="D81" s="22"/>
      <c r="E81" s="22"/>
      <c r="F81" s="22"/>
      <c r="G81" s="22"/>
      <c r="H81" s="22"/>
      <c r="I81" s="22"/>
      <c r="J81" s="22"/>
      <c r="K81" s="21"/>
    </row>
    <row r="82" spans="2:11" x14ac:dyDescent="0.25">
      <c r="B82" s="22"/>
      <c r="C82" s="22"/>
      <c r="D82" s="22"/>
      <c r="E82" s="22"/>
      <c r="F82" s="22"/>
      <c r="G82" s="22"/>
      <c r="H82" s="22"/>
      <c r="I82" s="22"/>
      <c r="J82" s="22"/>
      <c r="K82" s="21"/>
    </row>
    <row r="83" spans="2:11" x14ac:dyDescent="0.25">
      <c r="B83" s="22"/>
      <c r="C83" s="22"/>
      <c r="D83" s="22"/>
      <c r="E83" s="22"/>
      <c r="F83" s="22"/>
      <c r="G83" s="22"/>
      <c r="H83" s="22"/>
      <c r="I83" s="22"/>
      <c r="J83" s="22"/>
      <c r="K83" s="21"/>
    </row>
    <row r="84" spans="2:11" x14ac:dyDescent="0.25">
      <c r="B84" s="22"/>
      <c r="C84" s="22"/>
      <c r="D84" s="22"/>
      <c r="E84" s="22"/>
      <c r="F84" s="22"/>
      <c r="G84" s="22"/>
      <c r="H84" s="22"/>
      <c r="I84" s="22"/>
      <c r="J84" s="22"/>
      <c r="K84" s="21"/>
    </row>
    <row r="85" spans="2:11" x14ac:dyDescent="0.25">
      <c r="B85" s="22"/>
      <c r="C85" s="22"/>
      <c r="D85" s="22"/>
      <c r="E85" s="22"/>
      <c r="F85" s="22"/>
      <c r="G85" s="22"/>
      <c r="H85" s="22"/>
      <c r="I85" s="22"/>
      <c r="J85" s="22"/>
      <c r="K85" s="21"/>
    </row>
    <row r="86" spans="2:11" x14ac:dyDescent="0.25">
      <c r="B86" s="22"/>
      <c r="C86" s="22"/>
      <c r="D86" s="22"/>
      <c r="E86" s="22"/>
      <c r="F86" s="22"/>
      <c r="G86" s="22"/>
      <c r="H86" s="22"/>
      <c r="I86" s="22"/>
      <c r="J86" s="22"/>
      <c r="K86" s="21"/>
    </row>
    <row r="87" spans="2:11" x14ac:dyDescent="0.25">
      <c r="B87" s="22"/>
      <c r="C87" s="22"/>
      <c r="D87" s="22"/>
      <c r="E87" s="22"/>
      <c r="F87" s="22"/>
      <c r="G87" s="22"/>
      <c r="H87" s="22"/>
      <c r="I87" s="22"/>
      <c r="J87" s="22"/>
      <c r="K87" s="21"/>
    </row>
    <row r="88" spans="2:11" x14ac:dyDescent="0.25">
      <c r="B88" s="22"/>
      <c r="C88" s="22"/>
      <c r="D88" s="22"/>
      <c r="E88" s="22"/>
      <c r="F88" s="22"/>
      <c r="G88" s="22"/>
      <c r="H88" s="22"/>
      <c r="I88" s="22"/>
      <c r="J88" s="22"/>
      <c r="K88" s="21"/>
    </row>
    <row r="89" spans="2:11" x14ac:dyDescent="0.25">
      <c r="B89" s="22"/>
      <c r="C89" s="22"/>
      <c r="D89" s="22"/>
      <c r="E89" s="22"/>
      <c r="F89" s="22"/>
      <c r="G89" s="22"/>
      <c r="H89" s="22"/>
      <c r="I89" s="22"/>
      <c r="J89" s="22"/>
      <c r="K89" s="21"/>
    </row>
    <row r="90" spans="2:11" x14ac:dyDescent="0.25">
      <c r="B90" s="22"/>
      <c r="C90" s="22"/>
      <c r="D90" s="22"/>
      <c r="E90" s="22"/>
      <c r="F90" s="22"/>
      <c r="G90" s="22"/>
      <c r="H90" s="22"/>
      <c r="I90" s="22"/>
      <c r="J90" s="22"/>
      <c r="K90" s="21"/>
    </row>
    <row r="91" spans="2:11" x14ac:dyDescent="0.25">
      <c r="B91" s="22"/>
      <c r="C91" s="22"/>
      <c r="D91" s="22"/>
      <c r="E91" s="22"/>
      <c r="F91" s="22"/>
      <c r="G91" s="22"/>
      <c r="H91" s="22"/>
      <c r="I91" s="22"/>
      <c r="J91" s="22"/>
      <c r="K91" s="21"/>
    </row>
    <row r="92" spans="2:11" x14ac:dyDescent="0.25">
      <c r="B92" s="22"/>
      <c r="C92" s="22"/>
      <c r="D92" s="22"/>
      <c r="E92" s="22"/>
      <c r="F92" s="22"/>
      <c r="G92" s="22"/>
      <c r="H92" s="22"/>
      <c r="I92" s="22"/>
      <c r="J92" s="22"/>
      <c r="K92" s="21"/>
    </row>
    <row r="93" spans="2:11" x14ac:dyDescent="0.25">
      <c r="B93" s="22"/>
      <c r="C93" s="22"/>
      <c r="D93" s="22"/>
      <c r="E93" s="22"/>
      <c r="F93" s="22"/>
      <c r="G93" s="22"/>
      <c r="H93" s="22"/>
      <c r="I93" s="22"/>
      <c r="J93" s="22"/>
      <c r="K93" s="21"/>
    </row>
    <row r="94" spans="2:11" x14ac:dyDescent="0.25">
      <c r="B94" s="22"/>
      <c r="C94" s="22"/>
      <c r="D94" s="22"/>
      <c r="E94" s="22"/>
      <c r="F94" s="22"/>
      <c r="G94" s="22"/>
      <c r="H94" s="22"/>
      <c r="I94" s="22"/>
      <c r="J94" s="22"/>
      <c r="K94" s="21"/>
    </row>
    <row r="95" spans="2:11" x14ac:dyDescent="0.25">
      <c r="B95" s="22"/>
      <c r="C95" s="22"/>
      <c r="D95" s="22"/>
      <c r="E95" s="22"/>
      <c r="F95" s="22"/>
      <c r="G95" s="22"/>
      <c r="H95" s="22"/>
      <c r="I95" s="22"/>
      <c r="J95" s="22"/>
      <c r="K95" s="21"/>
    </row>
    <row r="96" spans="2:11" x14ac:dyDescent="0.25">
      <c r="B96" s="22"/>
      <c r="C96" s="22"/>
      <c r="D96" s="22"/>
      <c r="E96" s="22"/>
      <c r="F96" s="22"/>
      <c r="G96" s="22"/>
      <c r="H96" s="22"/>
      <c r="I96" s="22"/>
      <c r="J96" s="22"/>
      <c r="K96" s="21"/>
    </row>
    <row r="97" spans="2:11" x14ac:dyDescent="0.25">
      <c r="B97" s="22"/>
      <c r="C97" s="22"/>
      <c r="D97" s="22"/>
      <c r="E97" s="22"/>
      <c r="F97" s="22"/>
      <c r="G97" s="22"/>
      <c r="H97" s="22"/>
      <c r="I97" s="22"/>
      <c r="J97" s="22"/>
      <c r="K97" s="21"/>
    </row>
    <row r="98" spans="2:11" x14ac:dyDescent="0.25">
      <c r="B98" s="22"/>
      <c r="C98" s="22"/>
      <c r="D98" s="22"/>
      <c r="E98" s="22"/>
      <c r="F98" s="22"/>
      <c r="G98" s="22"/>
      <c r="H98" s="22"/>
      <c r="I98" s="22"/>
      <c r="J98" s="22"/>
      <c r="K98" s="21"/>
    </row>
    <row r="99" spans="2:11" x14ac:dyDescent="0.25">
      <c r="B99" s="22"/>
      <c r="C99" s="22"/>
      <c r="D99" s="22"/>
      <c r="E99" s="22"/>
      <c r="F99" s="22"/>
      <c r="G99" s="22"/>
      <c r="H99" s="22"/>
      <c r="I99" s="22"/>
      <c r="J99" s="22"/>
      <c r="K99" s="21"/>
    </row>
    <row r="100" spans="2:11" x14ac:dyDescent="0.25">
      <c r="B100" s="22"/>
      <c r="C100" s="22"/>
      <c r="D100" s="22"/>
      <c r="E100" s="22"/>
      <c r="F100" s="22"/>
      <c r="G100" s="22"/>
      <c r="H100" s="22"/>
      <c r="I100" s="22"/>
      <c r="J100" s="22"/>
      <c r="K100" s="21"/>
    </row>
    <row r="101" spans="2:11" x14ac:dyDescent="0.25">
      <c r="B101" s="22"/>
      <c r="C101" s="22"/>
      <c r="D101" s="22"/>
      <c r="E101" s="22"/>
      <c r="F101" s="22"/>
      <c r="G101" s="22"/>
      <c r="H101" s="22"/>
      <c r="I101" s="22"/>
      <c r="J101" s="22"/>
      <c r="K101" s="21"/>
    </row>
    <row r="102" spans="2:11" x14ac:dyDescent="0.25">
      <c r="B102" s="22"/>
      <c r="C102" s="22"/>
      <c r="D102" s="22"/>
      <c r="E102" s="22"/>
      <c r="F102" s="22"/>
      <c r="G102" s="22"/>
      <c r="H102" s="22"/>
      <c r="I102" s="22"/>
      <c r="J102" s="22"/>
      <c r="K102" s="21"/>
    </row>
    <row r="103" spans="2:11" x14ac:dyDescent="0.25">
      <c r="B103" s="22"/>
      <c r="C103" s="22"/>
      <c r="D103" s="22"/>
      <c r="E103" s="22"/>
      <c r="F103" s="22"/>
      <c r="G103" s="22"/>
      <c r="H103" s="22"/>
      <c r="I103" s="22"/>
      <c r="J103" s="22"/>
      <c r="K103" s="21"/>
    </row>
    <row r="104" spans="2:11" x14ac:dyDescent="0.25">
      <c r="B104" s="22"/>
      <c r="C104" s="22"/>
      <c r="D104" s="22"/>
      <c r="E104" s="22"/>
      <c r="F104" s="22"/>
      <c r="G104" s="22"/>
      <c r="H104" s="22"/>
      <c r="I104" s="22"/>
      <c r="J104" s="22"/>
      <c r="K104" s="21"/>
    </row>
    <row r="105" spans="2:11" x14ac:dyDescent="0.25">
      <c r="B105" s="22"/>
      <c r="C105" s="22"/>
      <c r="D105" s="22"/>
      <c r="E105" s="22"/>
      <c r="F105" s="22"/>
      <c r="G105" s="22"/>
      <c r="H105" s="22"/>
      <c r="I105" s="22"/>
      <c r="J105" s="22"/>
      <c r="K105" s="21"/>
    </row>
    <row r="106" spans="2:11" x14ac:dyDescent="0.25">
      <c r="B106" s="22"/>
      <c r="C106" s="22"/>
      <c r="D106" s="22"/>
      <c r="E106" s="22"/>
      <c r="F106" s="22"/>
      <c r="G106" s="22"/>
      <c r="H106" s="22"/>
      <c r="I106" s="22"/>
      <c r="J106" s="22"/>
      <c r="K106" s="21"/>
    </row>
    <row r="107" spans="2:11" x14ac:dyDescent="0.25">
      <c r="B107" s="22"/>
      <c r="C107" s="22"/>
      <c r="D107" s="22"/>
      <c r="E107" s="22"/>
      <c r="F107" s="22"/>
      <c r="G107" s="22"/>
      <c r="H107" s="22"/>
      <c r="I107" s="22"/>
      <c r="J107" s="22"/>
      <c r="K107" s="21"/>
    </row>
    <row r="108" spans="2:11" x14ac:dyDescent="0.25">
      <c r="B108" s="22"/>
      <c r="C108" s="22"/>
      <c r="D108" s="22"/>
      <c r="E108" s="22"/>
      <c r="F108" s="22"/>
      <c r="G108" s="22"/>
      <c r="H108" s="22"/>
      <c r="I108" s="22"/>
      <c r="J108" s="22"/>
      <c r="K108" s="21"/>
    </row>
    <row r="109" spans="2:11" x14ac:dyDescent="0.25">
      <c r="B109" s="22"/>
      <c r="C109" s="22"/>
      <c r="D109" s="22"/>
      <c r="E109" s="22"/>
      <c r="F109" s="22"/>
      <c r="G109" s="22"/>
      <c r="H109" s="22"/>
      <c r="I109" s="22"/>
      <c r="J109" s="22"/>
      <c r="K109" s="21"/>
    </row>
    <row r="110" spans="2:11" x14ac:dyDescent="0.25">
      <c r="B110" s="22"/>
      <c r="C110" s="22"/>
      <c r="D110" s="22"/>
      <c r="E110" s="22"/>
      <c r="F110" s="22"/>
      <c r="G110" s="22"/>
      <c r="H110" s="22"/>
      <c r="I110" s="22"/>
      <c r="J110" s="22"/>
      <c r="K110" s="21"/>
    </row>
    <row r="111" spans="2:11" x14ac:dyDescent="0.25">
      <c r="B111" s="22"/>
      <c r="C111" s="22"/>
      <c r="D111" s="22"/>
      <c r="E111" s="22"/>
      <c r="F111" s="22"/>
      <c r="G111" s="22"/>
      <c r="H111" s="22"/>
      <c r="I111" s="22"/>
      <c r="J111" s="22"/>
      <c r="K111" s="21"/>
    </row>
    <row r="112" spans="2:11" x14ac:dyDescent="0.25">
      <c r="B112" s="22"/>
      <c r="C112" s="22"/>
      <c r="D112" s="22"/>
      <c r="E112" s="22"/>
      <c r="F112" s="22"/>
      <c r="G112" s="22"/>
      <c r="H112" s="22"/>
      <c r="I112" s="22"/>
      <c r="J112" s="22"/>
      <c r="K112" s="21"/>
    </row>
    <row r="113" spans="2:11" x14ac:dyDescent="0.25">
      <c r="B113" s="22"/>
      <c r="C113" s="22"/>
      <c r="D113" s="22"/>
      <c r="E113" s="22"/>
      <c r="F113" s="22"/>
      <c r="G113" s="22"/>
      <c r="H113" s="22"/>
      <c r="I113" s="22"/>
      <c r="J113" s="22"/>
      <c r="K113" s="21"/>
    </row>
    <row r="114" spans="2:11" x14ac:dyDescent="0.25">
      <c r="B114" s="22"/>
      <c r="C114" s="22"/>
      <c r="D114" s="22"/>
      <c r="E114" s="22"/>
      <c r="F114" s="22"/>
      <c r="G114" s="22"/>
      <c r="H114" s="22"/>
      <c r="I114" s="22"/>
      <c r="J114" s="22"/>
      <c r="K114" s="21"/>
    </row>
    <row r="115" spans="2:11" x14ac:dyDescent="0.25">
      <c r="B115" s="22"/>
      <c r="C115" s="22"/>
      <c r="D115" s="22"/>
      <c r="E115" s="22"/>
      <c r="F115" s="22"/>
      <c r="G115" s="22"/>
      <c r="H115" s="22"/>
      <c r="I115" s="22"/>
      <c r="J115" s="22"/>
      <c r="K115" s="21"/>
    </row>
    <row r="116" spans="2:11" x14ac:dyDescent="0.25">
      <c r="B116" s="22"/>
      <c r="C116" s="22"/>
      <c r="D116" s="22"/>
      <c r="E116" s="22"/>
      <c r="F116" s="22"/>
      <c r="G116" s="22"/>
      <c r="H116" s="22"/>
      <c r="I116" s="22"/>
      <c r="J116" s="22"/>
      <c r="K116" s="21"/>
    </row>
    <row r="117" spans="2:11" x14ac:dyDescent="0.25">
      <c r="B117" s="22"/>
      <c r="C117" s="22"/>
      <c r="D117" s="22"/>
      <c r="E117" s="22"/>
      <c r="F117" s="22"/>
      <c r="G117" s="22"/>
      <c r="H117" s="22"/>
      <c r="I117" s="22"/>
      <c r="J117" s="22"/>
      <c r="K117" s="21"/>
    </row>
    <row r="118" spans="2:11" x14ac:dyDescent="0.25">
      <c r="B118" s="22"/>
      <c r="C118" s="22"/>
      <c r="D118" s="22"/>
      <c r="E118" s="22"/>
      <c r="F118" s="22"/>
      <c r="G118" s="22"/>
      <c r="H118" s="22"/>
      <c r="I118" s="22"/>
      <c r="J118" s="22"/>
      <c r="K118" s="21"/>
    </row>
    <row r="119" spans="2:11" x14ac:dyDescent="0.25">
      <c r="B119" s="22"/>
      <c r="C119" s="22"/>
      <c r="D119" s="22"/>
      <c r="E119" s="22"/>
      <c r="F119" s="22"/>
      <c r="G119" s="22"/>
      <c r="H119" s="22"/>
      <c r="I119" s="22"/>
      <c r="J119" s="22"/>
      <c r="K119" s="21"/>
    </row>
    <row r="120" spans="2:11" x14ac:dyDescent="0.25">
      <c r="B120" s="22"/>
      <c r="C120" s="22"/>
      <c r="D120" s="22"/>
      <c r="E120" s="22"/>
      <c r="F120" s="22"/>
      <c r="G120" s="22"/>
      <c r="H120" s="22"/>
      <c r="I120" s="22"/>
      <c r="J120" s="22"/>
      <c r="K120" s="21"/>
    </row>
    <row r="121" spans="2:11" x14ac:dyDescent="0.25">
      <c r="B121" s="22"/>
      <c r="C121" s="22"/>
      <c r="D121" s="22"/>
      <c r="E121" s="22"/>
      <c r="F121" s="22"/>
      <c r="G121" s="22"/>
      <c r="H121" s="22"/>
      <c r="I121" s="22"/>
      <c r="J121" s="22"/>
      <c r="K121" s="21"/>
    </row>
    <row r="122" spans="2:11" x14ac:dyDescent="0.25">
      <c r="B122" s="22"/>
      <c r="C122" s="22"/>
      <c r="D122" s="22"/>
      <c r="E122" s="22"/>
      <c r="F122" s="22"/>
      <c r="G122" s="22"/>
      <c r="H122" s="22"/>
      <c r="I122" s="22"/>
      <c r="J122" s="22"/>
      <c r="K122" s="21"/>
    </row>
    <row r="123" spans="2:11" x14ac:dyDescent="0.25">
      <c r="B123" s="22"/>
      <c r="C123" s="22"/>
      <c r="D123" s="22"/>
      <c r="E123" s="22"/>
      <c r="F123" s="22"/>
      <c r="G123" s="22"/>
      <c r="H123" s="22"/>
      <c r="I123" s="22"/>
      <c r="J123" s="22"/>
      <c r="K123" s="21"/>
    </row>
    <row r="124" spans="2:11" x14ac:dyDescent="0.25">
      <c r="B124" s="22"/>
      <c r="C124" s="22"/>
      <c r="D124" s="22"/>
      <c r="E124" s="22"/>
      <c r="F124" s="22"/>
      <c r="G124" s="22"/>
      <c r="H124" s="22"/>
      <c r="I124" s="22"/>
      <c r="J124" s="22"/>
      <c r="K124" s="21"/>
    </row>
    <row r="125" spans="2:11" x14ac:dyDescent="0.25">
      <c r="B125" s="22"/>
      <c r="C125" s="22"/>
      <c r="D125" s="22"/>
      <c r="E125" s="22"/>
      <c r="F125" s="22"/>
      <c r="G125" s="22"/>
      <c r="H125" s="22"/>
      <c r="I125" s="22"/>
      <c r="J125" s="22"/>
      <c r="K125" s="21"/>
    </row>
    <row r="126" spans="2:11" x14ac:dyDescent="0.25">
      <c r="B126" s="22"/>
      <c r="C126" s="22"/>
      <c r="D126" s="22"/>
      <c r="E126" s="22"/>
      <c r="F126" s="22"/>
      <c r="G126" s="22"/>
      <c r="H126" s="22"/>
      <c r="I126" s="22"/>
      <c r="J126" s="22"/>
      <c r="K126" s="21"/>
    </row>
    <row r="127" spans="2:11" x14ac:dyDescent="0.25">
      <c r="B127" s="21"/>
      <c r="C127" s="21"/>
      <c r="D127" s="21"/>
      <c r="E127" s="21"/>
      <c r="F127" s="21"/>
      <c r="G127" s="21"/>
      <c r="H127" s="21"/>
      <c r="I127" s="21"/>
      <c r="J127" s="21"/>
      <c r="K127" s="21"/>
    </row>
    <row r="128" spans="2:11" x14ac:dyDescent="0.25">
      <c r="B128" s="21"/>
      <c r="C128" s="21"/>
      <c r="D128" s="21"/>
      <c r="E128" s="21"/>
      <c r="F128" s="21"/>
      <c r="G128" s="21"/>
      <c r="H128" s="21"/>
      <c r="I128" s="21"/>
      <c r="J128" s="21"/>
      <c r="K128" s="21"/>
    </row>
    <row r="129" spans="2:11" x14ac:dyDescent="0.25">
      <c r="B129" s="21"/>
      <c r="C129" s="21"/>
      <c r="D129" s="21"/>
      <c r="E129" s="21"/>
      <c r="F129" s="21"/>
      <c r="G129" s="21"/>
      <c r="H129" s="21"/>
      <c r="I129" s="21"/>
      <c r="J129" s="21"/>
      <c r="K129" s="21"/>
    </row>
    <row r="130" spans="2:11" x14ac:dyDescent="0.25">
      <c r="B130" s="21"/>
      <c r="C130" s="21"/>
      <c r="D130" s="21"/>
      <c r="E130" s="21"/>
      <c r="F130" s="21"/>
      <c r="G130" s="21"/>
      <c r="H130" s="21"/>
      <c r="I130" s="21"/>
      <c r="J130" s="21"/>
      <c r="K130" s="21"/>
    </row>
    <row r="131" spans="2:11" x14ac:dyDescent="0.25">
      <c r="B131" s="21"/>
      <c r="C131" s="21"/>
      <c r="D131" s="21"/>
      <c r="E131" s="21"/>
      <c r="F131" s="21"/>
      <c r="G131" s="21"/>
      <c r="H131" s="21"/>
      <c r="I131" s="21"/>
      <c r="J131" s="21"/>
      <c r="K131" s="21"/>
    </row>
    <row r="132" spans="2:11" x14ac:dyDescent="0.25">
      <c r="B132" s="21"/>
      <c r="C132" s="21"/>
      <c r="D132" s="21"/>
      <c r="E132" s="21"/>
      <c r="F132" s="21"/>
      <c r="G132" s="21"/>
      <c r="H132" s="21"/>
      <c r="I132" s="21"/>
      <c r="J132" s="21"/>
      <c r="K132" s="21"/>
    </row>
    <row r="133" spans="2:11" x14ac:dyDescent="0.25">
      <c r="B133" s="21"/>
      <c r="C133" s="21"/>
      <c r="D133" s="21"/>
      <c r="E133" s="21"/>
      <c r="F133" s="21"/>
      <c r="G133" s="21"/>
      <c r="H133" s="21"/>
      <c r="I133" s="21"/>
      <c r="J133" s="21"/>
      <c r="K133" s="21"/>
    </row>
    <row r="134" spans="2:11" x14ac:dyDescent="0.25">
      <c r="B134" s="21"/>
      <c r="C134" s="21"/>
      <c r="D134" s="21"/>
      <c r="E134" s="21"/>
      <c r="F134" s="21"/>
      <c r="G134" s="21"/>
      <c r="H134" s="21"/>
      <c r="I134" s="21"/>
      <c r="J134" s="21"/>
      <c r="K134" s="21"/>
    </row>
    <row r="135" spans="2:11" x14ac:dyDescent="0.25">
      <c r="B135" s="21"/>
      <c r="C135" s="21"/>
      <c r="D135" s="21"/>
      <c r="E135" s="21"/>
      <c r="F135" s="21"/>
      <c r="G135" s="21"/>
      <c r="H135" s="21"/>
      <c r="I135" s="21"/>
      <c r="J135" s="21"/>
      <c r="K135" s="21"/>
    </row>
    <row r="136" spans="2:11" x14ac:dyDescent="0.25">
      <c r="B136" s="21"/>
      <c r="C136" s="21"/>
      <c r="D136" s="21"/>
      <c r="E136" s="21"/>
      <c r="F136" s="21"/>
      <c r="G136" s="21"/>
      <c r="H136" s="21"/>
      <c r="I136" s="21"/>
      <c r="J136" s="21"/>
      <c r="K136" s="21"/>
    </row>
  </sheetData>
  <mergeCells count="2">
    <mergeCell ref="C4:L4"/>
    <mergeCell ref="C3:F3"/>
  </mergeCells>
  <pageMargins left="0.75" right="0.75" top="1" bottom="1" header="0.5" footer="0.5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selection activeCell="B31" sqref="B31:C31"/>
    </sheetView>
  </sheetViews>
  <sheetFormatPr baseColWidth="10" defaultColWidth="9.140625" defaultRowHeight="15" x14ac:dyDescent="0.25"/>
  <cols>
    <col min="1" max="1" width="21.42578125" customWidth="1"/>
    <col min="2" max="2" width="14" customWidth="1"/>
    <col min="3" max="3" width="15" customWidth="1"/>
    <col min="4" max="5" width="45" customWidth="1"/>
    <col min="6" max="6" width="22" customWidth="1"/>
    <col min="7" max="7" width="12" customWidth="1"/>
    <col min="8" max="8" width="45" customWidth="1"/>
    <col min="9" max="9" width="19" customWidth="1"/>
  </cols>
  <sheetData>
    <row r="1" spans="1:9" x14ac:dyDescent="0.25">
      <c r="A1" s="6" t="s">
        <v>15</v>
      </c>
      <c r="B1" s="4" t="s">
        <v>57</v>
      </c>
      <c r="C1" s="4" t="s">
        <v>0</v>
      </c>
      <c r="D1" s="4" t="s">
        <v>1</v>
      </c>
      <c r="E1" s="4" t="s">
        <v>64</v>
      </c>
      <c r="F1" s="4" t="s">
        <v>16</v>
      </c>
      <c r="G1" s="4" t="s">
        <v>17</v>
      </c>
      <c r="H1" s="4" t="s">
        <v>18</v>
      </c>
      <c r="I1" s="4" t="s">
        <v>19</v>
      </c>
    </row>
    <row r="2" spans="1:9" x14ac:dyDescent="0.25">
      <c r="A2" s="1" t="s">
        <v>21</v>
      </c>
      <c r="B2" s="5" t="s">
        <v>20</v>
      </c>
      <c r="C2" s="1" t="s">
        <v>58</v>
      </c>
      <c r="D2" s="1" t="str">
        <f>VLOOKUP(A2, BD_Productos!A:B, 2, FALSE)</f>
        <v>Café de Origen Huila (500g)</v>
      </c>
      <c r="E2" s="1" t="s">
        <v>44</v>
      </c>
      <c r="F2" s="1" t="s">
        <v>14</v>
      </c>
      <c r="G2" s="2">
        <v>12</v>
      </c>
      <c r="H2" s="10">
        <f>VLOOKUP(A2, BD_Productos!A:E, 5, FALSE)</f>
        <v>12.5</v>
      </c>
      <c r="I2" s="10">
        <f t="shared" ref="I2:I21" si="0">G2*H2</f>
        <v>150</v>
      </c>
    </row>
    <row r="3" spans="1:9" x14ac:dyDescent="0.25">
      <c r="A3" s="1" t="s">
        <v>22</v>
      </c>
      <c r="B3" s="5" t="s">
        <v>20</v>
      </c>
      <c r="C3" s="1" t="s">
        <v>59</v>
      </c>
      <c r="D3" s="1" t="str">
        <f>VLOOKUP(A3, BD_Productos!A:B, 2, FALSE)</f>
        <v>Cápsulas Espresso Intenso (10u)</v>
      </c>
      <c r="E3" s="1" t="s">
        <v>65</v>
      </c>
      <c r="F3" s="1" t="s">
        <v>13</v>
      </c>
      <c r="G3" s="2">
        <v>5</v>
      </c>
      <c r="H3" s="10">
        <f>VLOOKUP(A3, BD_Productos!A:E, 5, FALSE)</f>
        <v>7.5</v>
      </c>
      <c r="I3" s="10">
        <f t="shared" si="0"/>
        <v>37.5</v>
      </c>
    </row>
    <row r="4" spans="1:9" x14ac:dyDescent="0.25">
      <c r="A4" s="1" t="s">
        <v>24</v>
      </c>
      <c r="B4" s="5" t="s">
        <v>23</v>
      </c>
      <c r="C4" s="1" t="s">
        <v>58</v>
      </c>
      <c r="D4" s="1" t="str">
        <f>VLOOKUP(A4, BD_Productos!A:B, 2, FALSE)</f>
        <v>Espresso Roast Blend (1kg)</v>
      </c>
      <c r="E4" s="1" t="s">
        <v>67</v>
      </c>
      <c r="F4" s="1" t="s">
        <v>12</v>
      </c>
      <c r="G4" s="2">
        <v>40</v>
      </c>
      <c r="H4" s="10">
        <f>VLOOKUP(A4, BD_Productos!A:E, 5, FALSE)</f>
        <v>22</v>
      </c>
      <c r="I4" s="10">
        <f t="shared" si="0"/>
        <v>880</v>
      </c>
    </row>
    <row r="5" spans="1:9" x14ac:dyDescent="0.25">
      <c r="A5" s="1" t="s">
        <v>25</v>
      </c>
      <c r="B5" s="5" t="s">
        <v>23</v>
      </c>
      <c r="C5" s="1" t="s">
        <v>60</v>
      </c>
      <c r="D5" s="1" t="str">
        <f>VLOOKUP(A5, BD_Productos!A:B, 2, FALSE)</f>
        <v>Café Molido Tostado Medio (500g)</v>
      </c>
      <c r="E5" s="1" t="s">
        <v>44</v>
      </c>
      <c r="F5" s="1" t="s">
        <v>14</v>
      </c>
      <c r="G5" s="2">
        <v>8</v>
      </c>
      <c r="H5" s="10">
        <f>VLOOKUP(A5, BD_Productos!A:E, 5, FALSE)</f>
        <v>11</v>
      </c>
      <c r="I5" s="10">
        <f t="shared" si="0"/>
        <v>88</v>
      </c>
    </row>
    <row r="6" spans="1:9" x14ac:dyDescent="0.25">
      <c r="A6" s="1" t="s">
        <v>27</v>
      </c>
      <c r="B6" s="5" t="s">
        <v>26</v>
      </c>
      <c r="C6" s="1" t="s">
        <v>60</v>
      </c>
      <c r="D6" s="1" t="str">
        <f>VLOOKUP(A6, BD_Productos!A:B, 2, FALSE)</f>
        <v>Café Especial Geisha (250g)</v>
      </c>
      <c r="E6" s="1" t="s">
        <v>56</v>
      </c>
      <c r="F6" s="1" t="s">
        <v>13</v>
      </c>
      <c r="G6" s="2">
        <v>3</v>
      </c>
      <c r="H6" s="10">
        <f>VLOOKUP(A6, BD_Productos!A:E, 5, FALSE)</f>
        <v>28</v>
      </c>
      <c r="I6" s="10">
        <f t="shared" si="0"/>
        <v>84</v>
      </c>
    </row>
    <row r="7" spans="1:9" x14ac:dyDescent="0.25">
      <c r="A7" s="1" t="s">
        <v>28</v>
      </c>
      <c r="B7" s="5" t="s">
        <v>26</v>
      </c>
      <c r="C7" s="1" t="s">
        <v>58</v>
      </c>
      <c r="D7" s="1" t="str">
        <f>VLOOKUP(A7, BD_Productos!A:B, 2, FALSE)</f>
        <v>Café de Origen Antigua (500g)</v>
      </c>
      <c r="E7" s="1" t="s">
        <v>45</v>
      </c>
      <c r="F7" s="1" t="s">
        <v>12</v>
      </c>
      <c r="G7" s="2">
        <v>25</v>
      </c>
      <c r="H7" s="10">
        <f>VLOOKUP(A7, BD_Productos!A:E, 5, FALSE)</f>
        <v>14</v>
      </c>
      <c r="I7" s="10">
        <f t="shared" si="0"/>
        <v>350</v>
      </c>
    </row>
    <row r="8" spans="1:9" x14ac:dyDescent="0.25">
      <c r="A8" s="1" t="s">
        <v>30</v>
      </c>
      <c r="B8" s="5" t="s">
        <v>29</v>
      </c>
      <c r="C8" s="1" t="s">
        <v>61</v>
      </c>
      <c r="D8" s="1" t="str">
        <f>VLOOKUP(A8, BD_Productos!A:B, 2, FALSE)</f>
        <v>Cold Brew Concentrate (1L)</v>
      </c>
      <c r="E8" s="1" t="s">
        <v>63</v>
      </c>
      <c r="F8" s="1" t="s">
        <v>14</v>
      </c>
      <c r="G8" s="2">
        <v>15</v>
      </c>
      <c r="H8" s="10">
        <f>VLOOKUP(A8, BD_Productos!A:E, 5, FALSE)</f>
        <v>15</v>
      </c>
      <c r="I8" s="10">
        <f t="shared" si="0"/>
        <v>225</v>
      </c>
    </row>
    <row r="9" spans="1:9" x14ac:dyDescent="0.25">
      <c r="A9" s="1" t="s">
        <v>31</v>
      </c>
      <c r="B9" s="5" t="s">
        <v>29</v>
      </c>
      <c r="C9" s="1" t="s">
        <v>59</v>
      </c>
      <c r="D9" s="1" t="str">
        <f>VLOOKUP(A9, BD_Productos!A:B, 2, FALSE)</f>
        <v>Cápsulas Vainilla Latte (10u)</v>
      </c>
      <c r="E9" s="1" t="s">
        <v>66</v>
      </c>
      <c r="F9" s="1" t="s">
        <v>13</v>
      </c>
      <c r="G9" s="2">
        <v>10</v>
      </c>
      <c r="H9" s="10">
        <f>VLOOKUP(A9, BD_Productos!A:E, 5, FALSE)</f>
        <v>8</v>
      </c>
      <c r="I9" s="10">
        <f t="shared" si="0"/>
        <v>80</v>
      </c>
    </row>
    <row r="10" spans="1:9" x14ac:dyDescent="0.25">
      <c r="A10" s="1" t="s">
        <v>21</v>
      </c>
      <c r="B10" s="5" t="s">
        <v>32</v>
      </c>
      <c r="C10" s="1" t="s">
        <v>58</v>
      </c>
      <c r="D10" s="1" t="str">
        <f>VLOOKUP(A10, BD_Productos!A:B, 2, FALSE)</f>
        <v>Café de Origen Huila (500g)</v>
      </c>
      <c r="E10" s="1" t="s">
        <v>44</v>
      </c>
      <c r="F10" s="1" t="s">
        <v>12</v>
      </c>
      <c r="G10" s="2">
        <v>60</v>
      </c>
      <c r="H10" s="10">
        <f>VLOOKUP(A10, BD_Productos!A:E, 5, FALSE)</f>
        <v>12.5</v>
      </c>
      <c r="I10" s="10">
        <f t="shared" si="0"/>
        <v>750</v>
      </c>
    </row>
    <row r="11" spans="1:9" x14ac:dyDescent="0.25">
      <c r="A11" s="1" t="s">
        <v>33</v>
      </c>
      <c r="B11" s="5" t="s">
        <v>32</v>
      </c>
      <c r="C11" s="1" t="s">
        <v>62</v>
      </c>
      <c r="D11" s="1" t="str">
        <f>VLOOKUP(A11, BD_Productos!A:B, 2, FALSE)</f>
        <v>Café Orgánico Sierra Nevada (500g)</v>
      </c>
      <c r="E11" s="1" t="s">
        <v>44</v>
      </c>
      <c r="F11" s="1" t="s">
        <v>13</v>
      </c>
      <c r="G11" s="2">
        <v>6</v>
      </c>
      <c r="H11" s="10">
        <f>VLOOKUP(A11, BD_Productos!A:E, 5, FALSE)</f>
        <v>16.5</v>
      </c>
      <c r="I11" s="10">
        <f t="shared" si="0"/>
        <v>99</v>
      </c>
    </row>
    <row r="12" spans="1:9" x14ac:dyDescent="0.25">
      <c r="A12" s="1" t="s">
        <v>24</v>
      </c>
      <c r="B12" s="5" t="s">
        <v>34</v>
      </c>
      <c r="C12" s="1" t="s">
        <v>58</v>
      </c>
      <c r="D12" s="1" t="str">
        <f>VLOOKUP(A12, BD_Productos!A:B, 2, FALSE)</f>
        <v>Espresso Roast Blend (1kg)</v>
      </c>
      <c r="E12" s="1" t="s">
        <v>67</v>
      </c>
      <c r="F12" s="1" t="s">
        <v>14</v>
      </c>
      <c r="G12" s="2">
        <v>10</v>
      </c>
      <c r="H12" s="10">
        <f>VLOOKUP(A12, BD_Productos!A:E, 5, FALSE)</f>
        <v>22</v>
      </c>
      <c r="I12" s="10">
        <f t="shared" si="0"/>
        <v>220</v>
      </c>
    </row>
    <row r="13" spans="1:9" x14ac:dyDescent="0.25">
      <c r="A13" s="1" t="s">
        <v>35</v>
      </c>
      <c r="B13" s="5" t="s">
        <v>34</v>
      </c>
      <c r="C13" s="1" t="s">
        <v>60</v>
      </c>
      <c r="D13" s="1" t="str">
        <f>VLOOKUP(A13, BD_Productos!A:B, 2, FALSE)</f>
        <v>Café Descafeinado Suave (500g)</v>
      </c>
      <c r="E13" s="1" t="s">
        <v>49</v>
      </c>
      <c r="F13" s="1" t="s">
        <v>14</v>
      </c>
      <c r="G13" s="2">
        <v>7</v>
      </c>
      <c r="H13" s="10">
        <f>VLOOKUP(A13, BD_Productos!A:E, 5, FALSE)</f>
        <v>13</v>
      </c>
      <c r="I13" s="10">
        <f t="shared" si="0"/>
        <v>91</v>
      </c>
    </row>
    <row r="14" spans="1:9" x14ac:dyDescent="0.25">
      <c r="A14" s="1" t="s">
        <v>22</v>
      </c>
      <c r="B14" s="5" t="s">
        <v>36</v>
      </c>
      <c r="C14" s="1" t="s">
        <v>59</v>
      </c>
      <c r="D14" s="1" t="str">
        <f>VLOOKUP(A14, BD_Productos!A:B, 2, FALSE)</f>
        <v>Cápsulas Espresso Intenso (10u)</v>
      </c>
      <c r="E14" s="1" t="s">
        <v>65</v>
      </c>
      <c r="F14" s="1" t="s">
        <v>13</v>
      </c>
      <c r="G14" s="2">
        <v>18</v>
      </c>
      <c r="H14" s="10">
        <f>VLOOKUP(A14, BD_Productos!A:E, 5, FALSE)</f>
        <v>7.5</v>
      </c>
      <c r="I14" s="10">
        <f t="shared" si="0"/>
        <v>135</v>
      </c>
    </row>
    <row r="15" spans="1:9" x14ac:dyDescent="0.25">
      <c r="A15" s="1" t="s">
        <v>28</v>
      </c>
      <c r="B15" s="5" t="s">
        <v>36</v>
      </c>
      <c r="C15" s="1" t="s">
        <v>58</v>
      </c>
      <c r="D15" s="1" t="str">
        <f>VLOOKUP(A15, BD_Productos!A:B, 2, FALSE)</f>
        <v>Café de Origen Antigua (500g)</v>
      </c>
      <c r="E15" s="1" t="s">
        <v>45</v>
      </c>
      <c r="F15" s="1" t="s">
        <v>12</v>
      </c>
      <c r="G15" s="2">
        <v>35</v>
      </c>
      <c r="H15" s="10">
        <f>VLOOKUP(A15, BD_Productos!A:E, 5, FALSE)</f>
        <v>14</v>
      </c>
      <c r="I15" s="10">
        <f t="shared" si="0"/>
        <v>490</v>
      </c>
    </row>
    <row r="16" spans="1:9" x14ac:dyDescent="0.25">
      <c r="A16" s="1" t="s">
        <v>25</v>
      </c>
      <c r="B16" s="5" t="s">
        <v>37</v>
      </c>
      <c r="C16" s="1" t="s">
        <v>60</v>
      </c>
      <c r="D16" s="1" t="str">
        <f>VLOOKUP(A16, BD_Productos!A:B, 2, FALSE)</f>
        <v>Café Molido Tostado Medio (500g)</v>
      </c>
      <c r="E16" s="1" t="s">
        <v>44</v>
      </c>
      <c r="F16" s="1" t="s">
        <v>13</v>
      </c>
      <c r="G16" s="2">
        <v>14</v>
      </c>
      <c r="H16" s="10">
        <f>VLOOKUP(A16, BD_Productos!A:E, 5, FALSE)</f>
        <v>11</v>
      </c>
      <c r="I16" s="10">
        <f t="shared" si="0"/>
        <v>154</v>
      </c>
    </row>
    <row r="17" spans="1:9" x14ac:dyDescent="0.25">
      <c r="A17" s="1" t="s">
        <v>21</v>
      </c>
      <c r="B17" s="5" t="s">
        <v>37</v>
      </c>
      <c r="C17" s="1" t="s">
        <v>58</v>
      </c>
      <c r="D17" s="1" t="str">
        <f>VLOOKUP(A17, BD_Productos!A:B, 2, FALSE)</f>
        <v>Café de Origen Huila (500g)</v>
      </c>
      <c r="E17" s="1" t="s">
        <v>44</v>
      </c>
      <c r="F17" s="1" t="s">
        <v>14</v>
      </c>
      <c r="G17" s="2">
        <v>9</v>
      </c>
      <c r="H17" s="10">
        <f>VLOOKUP(A17, BD_Productos!A:E, 5, FALSE)</f>
        <v>12.5</v>
      </c>
      <c r="I17" s="10">
        <f t="shared" si="0"/>
        <v>112.5</v>
      </c>
    </row>
    <row r="18" spans="1:9" x14ac:dyDescent="0.25">
      <c r="A18" s="1" t="s">
        <v>33</v>
      </c>
      <c r="B18" s="5" t="s">
        <v>38</v>
      </c>
      <c r="C18" s="1" t="s">
        <v>62</v>
      </c>
      <c r="D18" s="1" t="str">
        <f>VLOOKUP(A18, BD_Productos!A:B, 2, FALSE)</f>
        <v>Café Orgánico Sierra Nevada (500g)</v>
      </c>
      <c r="E18" s="1" t="s">
        <v>44</v>
      </c>
      <c r="F18" s="1" t="s">
        <v>12</v>
      </c>
      <c r="G18" s="2">
        <v>30</v>
      </c>
      <c r="H18" s="10">
        <f>VLOOKUP(A18, BD_Productos!A:E, 5, FALSE)</f>
        <v>16.5</v>
      </c>
      <c r="I18" s="10">
        <f t="shared" si="0"/>
        <v>495</v>
      </c>
    </row>
    <row r="19" spans="1:9" x14ac:dyDescent="0.25">
      <c r="A19" s="1" t="s">
        <v>30</v>
      </c>
      <c r="B19" s="5" t="s">
        <v>38</v>
      </c>
      <c r="C19" s="1" t="s">
        <v>61</v>
      </c>
      <c r="D19" s="1" t="str">
        <f>VLOOKUP(A19, BD_Productos!A:B, 2, FALSE)</f>
        <v>Cold Brew Concentrate (1L)</v>
      </c>
      <c r="E19" s="1" t="s">
        <v>63</v>
      </c>
      <c r="F19" s="1" t="s">
        <v>13</v>
      </c>
      <c r="G19" s="2">
        <v>8</v>
      </c>
      <c r="H19" s="10">
        <f>VLOOKUP(A19, BD_Productos!A:E, 5, FALSE)</f>
        <v>15</v>
      </c>
      <c r="I19" s="10">
        <f t="shared" si="0"/>
        <v>120</v>
      </c>
    </row>
    <row r="20" spans="1:9" x14ac:dyDescent="0.25">
      <c r="A20" s="1" t="s">
        <v>24</v>
      </c>
      <c r="B20" s="5" t="s">
        <v>39</v>
      </c>
      <c r="C20" s="1" t="s">
        <v>58</v>
      </c>
      <c r="D20" s="1" t="str">
        <f>VLOOKUP(A20, BD_Productos!A:B, 2, FALSE)</f>
        <v>Espresso Roast Blend (1kg)</v>
      </c>
      <c r="E20" s="1" t="s">
        <v>67</v>
      </c>
      <c r="F20" s="1" t="s">
        <v>12</v>
      </c>
      <c r="G20" s="2">
        <v>50</v>
      </c>
      <c r="H20" s="10">
        <f>VLOOKUP(A20, BD_Productos!A:E, 5, FALSE)</f>
        <v>22</v>
      </c>
      <c r="I20" s="10">
        <f t="shared" si="0"/>
        <v>1100</v>
      </c>
    </row>
    <row r="21" spans="1:9" x14ac:dyDescent="0.25">
      <c r="A21" s="1" t="s">
        <v>27</v>
      </c>
      <c r="B21" s="5" t="s">
        <v>39</v>
      </c>
      <c r="C21" s="1" t="s">
        <v>60</v>
      </c>
      <c r="D21" s="1" t="str">
        <f>VLOOKUP(A21, BD_Productos!A:B, 2, FALSE)</f>
        <v>Café Especial Geisha (250g)</v>
      </c>
      <c r="E21" s="1" t="s">
        <v>56</v>
      </c>
      <c r="F21" s="1" t="s">
        <v>14</v>
      </c>
      <c r="G21" s="2">
        <v>4</v>
      </c>
      <c r="H21" s="10">
        <f>VLOOKUP(A21, BD_Productos!A:E, 5, FALSE)</f>
        <v>28</v>
      </c>
      <c r="I21" s="10">
        <f t="shared" si="0"/>
        <v>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A5CCE-2827-4D54-B479-1FC1BFFE1E48}">
  <dimension ref="B2:F31"/>
  <sheetViews>
    <sheetView workbookViewId="0">
      <selection activeCell="C7" sqref="C7"/>
    </sheetView>
  </sheetViews>
  <sheetFormatPr baseColWidth="10" defaultRowHeight="15" x14ac:dyDescent="0.25"/>
  <cols>
    <col min="2" max="2" width="34.28515625" bestFit="1" customWidth="1"/>
    <col min="3" max="3" width="17" bestFit="1" customWidth="1"/>
    <col min="4" max="4" width="23.28515625" bestFit="1" customWidth="1"/>
  </cols>
  <sheetData>
    <row r="2" spans="2:6" ht="15.75" x14ac:dyDescent="0.25">
      <c r="B2" s="13" t="s">
        <v>70</v>
      </c>
      <c r="C2" s="14"/>
      <c r="D2" s="14"/>
      <c r="E2" s="14"/>
      <c r="F2" s="14"/>
    </row>
    <row r="4" spans="2:6" x14ac:dyDescent="0.25">
      <c r="B4" s="15" t="s">
        <v>73</v>
      </c>
      <c r="C4" s="15"/>
      <c r="D4" s="15"/>
      <c r="E4" s="12"/>
    </row>
    <row r="5" spans="2:6" x14ac:dyDescent="0.25">
      <c r="B5" s="15" t="s">
        <v>74</v>
      </c>
      <c r="C5" s="15"/>
      <c r="D5" s="15"/>
      <c r="E5" s="12"/>
    </row>
    <row r="6" spans="2:6" x14ac:dyDescent="0.25">
      <c r="B6" s="15" t="s">
        <v>72</v>
      </c>
      <c r="C6" s="15"/>
      <c r="D6" s="15"/>
    </row>
    <row r="7" spans="2:6" x14ac:dyDescent="0.25">
      <c r="B7" s="7" t="s">
        <v>64</v>
      </c>
      <c r="C7" t="s">
        <v>44</v>
      </c>
    </row>
    <row r="9" spans="2:6" x14ac:dyDescent="0.25">
      <c r="B9" s="7" t="s">
        <v>68</v>
      </c>
      <c r="C9" t="s">
        <v>71</v>
      </c>
    </row>
    <row r="10" spans="2:6" x14ac:dyDescent="0.25">
      <c r="B10" s="8" t="s">
        <v>5</v>
      </c>
      <c r="C10" s="11">
        <v>81</v>
      </c>
      <c r="D10" t="str">
        <f>B10</f>
        <v>Café de Origen Huila (500g)</v>
      </c>
    </row>
    <row r="11" spans="2:6" x14ac:dyDescent="0.25">
      <c r="B11" s="9" t="s">
        <v>58</v>
      </c>
      <c r="C11" s="11">
        <v>81</v>
      </c>
      <c r="D11" t="str">
        <f>B11</f>
        <v>Grão inteiro</v>
      </c>
    </row>
    <row r="12" spans="2:6" x14ac:dyDescent="0.25">
      <c r="B12" s="16" t="s">
        <v>14</v>
      </c>
      <c r="C12" s="11">
        <v>21</v>
      </c>
    </row>
    <row r="13" spans="2:6" x14ac:dyDescent="0.25">
      <c r="B13" s="16" t="s">
        <v>12</v>
      </c>
      <c r="C13" s="11">
        <v>60</v>
      </c>
    </row>
    <row r="14" spans="2:6" x14ac:dyDescent="0.25">
      <c r="B14" s="8" t="s">
        <v>47</v>
      </c>
      <c r="C14" s="11">
        <v>22</v>
      </c>
    </row>
    <row r="15" spans="2:6" x14ac:dyDescent="0.25">
      <c r="B15" s="9" t="s">
        <v>60</v>
      </c>
      <c r="C15" s="11">
        <v>22</v>
      </c>
    </row>
    <row r="16" spans="2:6" x14ac:dyDescent="0.25">
      <c r="B16" s="16" t="s">
        <v>14</v>
      </c>
      <c r="C16" s="11">
        <v>8</v>
      </c>
    </row>
    <row r="17" spans="2:3" x14ac:dyDescent="0.25">
      <c r="B17" s="16" t="s">
        <v>13</v>
      </c>
      <c r="C17" s="11">
        <v>14</v>
      </c>
    </row>
    <row r="18" spans="2:3" x14ac:dyDescent="0.25">
      <c r="B18" s="8" t="s">
        <v>9</v>
      </c>
      <c r="C18" s="11">
        <v>36</v>
      </c>
    </row>
    <row r="19" spans="2:3" x14ac:dyDescent="0.25">
      <c r="B19" s="9" t="s">
        <v>62</v>
      </c>
      <c r="C19" s="11">
        <v>36</v>
      </c>
    </row>
    <row r="20" spans="2:3" x14ac:dyDescent="0.25">
      <c r="B20" s="16" t="s">
        <v>12</v>
      </c>
      <c r="C20" s="11">
        <v>30</v>
      </c>
    </row>
    <row r="21" spans="2:3" x14ac:dyDescent="0.25">
      <c r="B21" s="16" t="s">
        <v>13</v>
      </c>
      <c r="C21" s="11">
        <v>6</v>
      </c>
    </row>
    <row r="22" spans="2:3" x14ac:dyDescent="0.25">
      <c r="B22" s="8" t="s">
        <v>69</v>
      </c>
      <c r="C22" s="11">
        <v>139</v>
      </c>
    </row>
    <row r="31" spans="2:3" x14ac:dyDescent="0.25">
      <c r="B31" s="15"/>
      <c r="C31" s="15"/>
    </row>
  </sheetData>
  <mergeCells count="5">
    <mergeCell ref="B2:F2"/>
    <mergeCell ref="B4:D4"/>
    <mergeCell ref="B5:D5"/>
    <mergeCell ref="B6:D6"/>
    <mergeCell ref="B31:C31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"/>
  <sheetViews>
    <sheetView workbookViewId="0">
      <selection activeCell="C13" sqref="C13"/>
    </sheetView>
  </sheetViews>
  <sheetFormatPr baseColWidth="10" defaultColWidth="9.140625" defaultRowHeight="15" x14ac:dyDescent="0.25"/>
  <cols>
    <col min="1" max="1" width="15" customWidth="1"/>
    <col min="2" max="2" width="38" customWidth="1"/>
    <col min="3" max="3" width="20" customWidth="1"/>
    <col min="4" max="4" width="21" customWidth="1"/>
    <col min="5" max="5" width="23" customWidth="1"/>
    <col min="6" max="6" width="21" customWidth="1"/>
  </cols>
  <sheetData>
    <row r="1" spans="1:6" x14ac:dyDescent="0.25">
      <c r="A1" s="4" t="s">
        <v>40</v>
      </c>
      <c r="B1" s="4" t="s">
        <v>41</v>
      </c>
      <c r="C1" s="4" t="s">
        <v>0</v>
      </c>
      <c r="D1" s="4" t="s">
        <v>42</v>
      </c>
      <c r="E1" s="4" t="s">
        <v>18</v>
      </c>
      <c r="F1" s="4" t="s">
        <v>43</v>
      </c>
    </row>
    <row r="2" spans="1:6" x14ac:dyDescent="0.25">
      <c r="A2" s="1" t="s">
        <v>21</v>
      </c>
      <c r="B2" s="1" t="s">
        <v>5</v>
      </c>
      <c r="C2" s="1" t="s">
        <v>2</v>
      </c>
      <c r="D2" s="1" t="s">
        <v>44</v>
      </c>
      <c r="E2" s="3">
        <v>12.5</v>
      </c>
      <c r="F2" s="2">
        <v>450</v>
      </c>
    </row>
    <row r="3" spans="1:6" x14ac:dyDescent="0.25">
      <c r="A3" s="1" t="s">
        <v>28</v>
      </c>
      <c r="B3" s="1" t="s">
        <v>7</v>
      </c>
      <c r="C3" s="1" t="s">
        <v>2</v>
      </c>
      <c r="D3" s="1" t="s">
        <v>45</v>
      </c>
      <c r="E3" s="3">
        <v>14</v>
      </c>
      <c r="F3" s="2">
        <v>320</v>
      </c>
    </row>
    <row r="4" spans="1:6" x14ac:dyDescent="0.25">
      <c r="A4" s="1" t="s">
        <v>24</v>
      </c>
      <c r="B4" s="1" t="s">
        <v>3</v>
      </c>
      <c r="C4" s="1" t="s">
        <v>2</v>
      </c>
      <c r="D4" s="1" t="s">
        <v>46</v>
      </c>
      <c r="E4" s="3">
        <v>22</v>
      </c>
      <c r="F4" s="2">
        <v>200</v>
      </c>
    </row>
    <row r="5" spans="1:6" x14ac:dyDescent="0.25">
      <c r="A5" s="1" t="s">
        <v>25</v>
      </c>
      <c r="B5" s="1" t="s">
        <v>47</v>
      </c>
      <c r="C5" s="1" t="s">
        <v>4</v>
      </c>
      <c r="D5" s="1" t="s">
        <v>44</v>
      </c>
      <c r="E5" s="3">
        <v>11</v>
      </c>
      <c r="F5" s="2">
        <v>500</v>
      </c>
    </row>
    <row r="6" spans="1:6" x14ac:dyDescent="0.25">
      <c r="A6" s="1" t="s">
        <v>35</v>
      </c>
      <c r="B6" s="1" t="s">
        <v>48</v>
      </c>
      <c r="C6" s="1" t="s">
        <v>4</v>
      </c>
      <c r="D6" s="1" t="s">
        <v>49</v>
      </c>
      <c r="E6" s="3">
        <v>13</v>
      </c>
      <c r="F6" s="2">
        <v>180</v>
      </c>
    </row>
    <row r="7" spans="1:6" x14ac:dyDescent="0.25">
      <c r="A7" s="1" t="s">
        <v>22</v>
      </c>
      <c r="B7" s="1" t="s">
        <v>50</v>
      </c>
      <c r="C7" s="1" t="s">
        <v>6</v>
      </c>
      <c r="D7" s="1" t="s">
        <v>51</v>
      </c>
      <c r="E7" s="3">
        <v>7.5</v>
      </c>
      <c r="F7" s="2">
        <v>850</v>
      </c>
    </row>
    <row r="8" spans="1:6" x14ac:dyDescent="0.25">
      <c r="A8" s="1" t="s">
        <v>31</v>
      </c>
      <c r="B8" s="1" t="s">
        <v>52</v>
      </c>
      <c r="C8" s="1" t="s">
        <v>6</v>
      </c>
      <c r="D8" s="1" t="s">
        <v>53</v>
      </c>
      <c r="E8" s="3">
        <v>8</v>
      </c>
      <c r="F8" s="2">
        <v>600</v>
      </c>
    </row>
    <row r="9" spans="1:6" x14ac:dyDescent="0.25">
      <c r="A9" s="1" t="s">
        <v>30</v>
      </c>
      <c r="B9" s="1" t="s">
        <v>11</v>
      </c>
      <c r="C9" s="1" t="s">
        <v>8</v>
      </c>
      <c r="D9" s="1" t="s">
        <v>54</v>
      </c>
      <c r="E9" s="3">
        <v>15</v>
      </c>
      <c r="F9" s="2">
        <v>140</v>
      </c>
    </row>
    <row r="10" spans="1:6" x14ac:dyDescent="0.25">
      <c r="A10" s="1" t="s">
        <v>33</v>
      </c>
      <c r="B10" s="1" t="s">
        <v>9</v>
      </c>
      <c r="C10" s="1" t="s">
        <v>2</v>
      </c>
      <c r="D10" s="1" t="s">
        <v>44</v>
      </c>
      <c r="E10" s="3">
        <v>16.5</v>
      </c>
      <c r="F10" s="2">
        <v>290</v>
      </c>
    </row>
    <row r="11" spans="1:6" x14ac:dyDescent="0.25">
      <c r="A11" s="1" t="s">
        <v>27</v>
      </c>
      <c r="B11" s="1" t="s">
        <v>55</v>
      </c>
      <c r="C11" s="1" t="s">
        <v>10</v>
      </c>
      <c r="D11" s="1" t="s">
        <v>56</v>
      </c>
      <c r="E11" s="3">
        <v>28</v>
      </c>
      <c r="F11" s="2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Dashboard</vt:lpstr>
      <vt:lpstr>BD_Ventas</vt:lpstr>
      <vt:lpstr>Calculos</vt:lpstr>
      <vt:lpstr>BD_Productos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cecilia cuevas</cp:lastModifiedBy>
  <dcterms:created xsi:type="dcterms:W3CDTF">2026-09-24T19:43:32Z</dcterms:created>
  <dcterms:modified xsi:type="dcterms:W3CDTF">2026-09-30T18:59:16Z</dcterms:modified>
</cp:coreProperties>
</file>